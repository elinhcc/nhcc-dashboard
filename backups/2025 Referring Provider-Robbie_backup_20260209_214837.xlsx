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03"/>
  <workbookPr/>
  <mc:AlternateContent xmlns:mc="http://schemas.openxmlformats.org/markup-compatibility/2006">
    <mc:Choice Requires="x15">
      <x15ac:absPath xmlns:x15ac="http://schemas.microsoft.com/office/spreadsheetml/2010/11/ac" url="C:\Users\rwilson\Downloads\"/>
    </mc:Choice>
  </mc:AlternateContent>
  <xr:revisionPtr revIDLastSave="4932" documentId="11_4B571BC856BE56D47B41FDD1B30DE3CA15534567" xr6:coauthVersionLast="47" xr6:coauthVersionMax="47" xr10:uidLastSave="{841A39FD-BAD6-4F08-8B01-1A5D24D793FA}"/>
  <bookViews>
    <workbookView xWindow="0" yWindow="0" windowWidth="13365" windowHeight="11955" xr2:uid="{00000000-000D-0000-FFFF-FFFF00000000}"/>
  </bookViews>
  <sheets>
    <sheet name="Full List" sheetId="1" r:id="rId1"/>
    <sheet name="Christmas 2024" sheetId="2" r:id="rId2"/>
    <sheet name="Christmas 2025" sheetId="4" r:id="rId3"/>
    <sheet name="Courtesy Call" sheetId="3" r:id="rId4"/>
    <sheet name="Cookie Visit" sheetId="5" r:id="rId5"/>
  </sheets>
  <definedNames>
    <definedName name="_xlnm._FilterDatabase" localSheetId="0" hidden="1">'Full List'!$K$1:$K$343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3" i="1" l="1"/>
  <c r="L137" i="1"/>
  <c r="K137" i="1"/>
  <c r="J137" i="1"/>
  <c r="L120" i="1"/>
  <c r="K120" i="1"/>
  <c r="J120" i="1"/>
  <c r="L119" i="1"/>
  <c r="K119" i="1"/>
  <c r="J119" i="1"/>
  <c r="L114" i="1"/>
  <c r="K114" i="1"/>
  <c r="J114" i="1"/>
  <c r="L111" i="1"/>
  <c r="K111" i="1"/>
  <c r="J111" i="1"/>
  <c r="L102" i="1"/>
  <c r="K102" i="1"/>
  <c r="J102" i="1"/>
  <c r="L98" i="1"/>
  <c r="K98" i="1"/>
  <c r="J98" i="1"/>
  <c r="L97" i="1"/>
  <c r="K97" i="1"/>
  <c r="J97" i="1"/>
  <c r="L96" i="1"/>
  <c r="K96" i="1"/>
  <c r="J96" i="1"/>
  <c r="L94" i="1"/>
  <c r="K94" i="1"/>
  <c r="J94" i="1"/>
  <c r="L92" i="1"/>
  <c r="K92" i="1"/>
  <c r="J92" i="1"/>
  <c r="L73" i="1"/>
  <c r="J73" i="1"/>
  <c r="L70" i="1"/>
  <c r="K70" i="1"/>
  <c r="J70" i="1"/>
  <c r="J65" i="1"/>
  <c r="K65" i="1"/>
  <c r="L65" i="1"/>
  <c r="L64" i="1"/>
  <c r="K64" i="1"/>
  <c r="J64" i="1"/>
  <c r="L60" i="1"/>
  <c r="K60" i="1"/>
  <c r="J60" i="1"/>
  <c r="L56" i="1"/>
  <c r="K56" i="1"/>
  <c r="J56" i="1"/>
  <c r="L52" i="1"/>
  <c r="K52" i="1"/>
  <c r="J52" i="1"/>
  <c r="L51" i="1"/>
  <c r="K51" i="1"/>
  <c r="J51" i="1"/>
  <c r="L48" i="1"/>
  <c r="K48" i="1"/>
  <c r="J48" i="1"/>
  <c r="L46" i="1"/>
  <c r="K46" i="1"/>
  <c r="J46" i="1"/>
  <c r="L43" i="1"/>
  <c r="K43" i="1"/>
  <c r="J43" i="1"/>
  <c r="L42" i="1"/>
  <c r="K42" i="1"/>
  <c r="J42" i="1"/>
  <c r="L35" i="1"/>
  <c r="K35" i="1"/>
  <c r="J35" i="1"/>
  <c r="J33" i="1"/>
  <c r="K33" i="1"/>
  <c r="L33" i="1"/>
  <c r="L32" i="1"/>
  <c r="K32" i="1"/>
  <c r="J32" i="1"/>
  <c r="L29" i="1"/>
  <c r="K29" i="1"/>
  <c r="J29" i="1"/>
  <c r="J26" i="1"/>
  <c r="K26" i="1"/>
  <c r="L26" i="1"/>
  <c r="L25" i="1"/>
  <c r="K25" i="1"/>
  <c r="J25" i="1"/>
  <c r="L22" i="1"/>
  <c r="K22" i="1"/>
  <c r="J22" i="1"/>
  <c r="L18" i="1"/>
  <c r="K18" i="1"/>
  <c r="J18" i="1"/>
  <c r="L11" i="1"/>
  <c r="K11" i="1"/>
  <c r="J11" i="1"/>
  <c r="L10" i="1"/>
  <c r="K10" i="1"/>
  <c r="J10" i="1"/>
  <c r="L5" i="1"/>
  <c r="K5" i="1"/>
  <c r="J5" i="1"/>
  <c r="L2" i="1"/>
  <c r="K2" i="1"/>
  <c r="J2" i="1"/>
  <c r="E1" i="4"/>
  <c r="E46" i="4"/>
  <c r="E1048568" i="4" s="1"/>
</calcChain>
</file>

<file path=xl/sharedStrings.xml><?xml version="1.0" encoding="utf-8"?>
<sst xmlns="http://schemas.openxmlformats.org/spreadsheetml/2006/main" count="1538" uniqueCount="1143">
  <si>
    <t>Practice name</t>
  </si>
  <si>
    <t>Address</t>
  </si>
  <si>
    <t>Contact Information</t>
  </si>
  <si>
    <t>Providers</t>
  </si>
  <si>
    <t>Details</t>
  </si>
  <si>
    <t>Next Follow up</t>
  </si>
  <si>
    <t>Last Contact Date</t>
  </si>
  <si>
    <t>1st Month Follow up</t>
  </si>
  <si>
    <t>3rd month Follow up</t>
  </si>
  <si>
    <t>6th month Follow-up</t>
  </si>
  <si>
    <t>Huntsville Family Medicine</t>
  </si>
  <si>
    <t>123 Medical Park Lane Ste A Huntsville, TX 77340</t>
  </si>
  <si>
    <t>https://www.huntsvillefamilymed.com/                                            Tel: 936-291-2116
Fax: 844-655-5471</t>
  </si>
  <si>
    <t>Lisa Alicea
Nicolas Alonso
Lane Aiena
Mary Rosenquist
Shao-jen Chang</t>
  </si>
  <si>
    <t>Physical visit and thank you pastry 5/15/25
Physical visit and thank you cookies 8/28/25
Lunch delivered 9/15/15 McAlister's</t>
  </si>
  <si>
    <t>Christmas</t>
  </si>
  <si>
    <t>Conroe Willis Family Medicine</t>
  </si>
  <si>
    <t xml:space="preserve">9851 FM 1097 Rd West, Suite 120 Willis, TX 77318
</t>
  </si>
  <si>
    <t>Old: (936) 890-8000 | New: 888-694-3441 https://cwfamilymed.com/</t>
  </si>
  <si>
    <t>Dr. Jason Laningham                                                          Tara Draehn, NP
Catherine Nixon NP
Levi Stone NP
Jennifer Laningham RN MSN                                        Lauren Hambaugh FNP                                                    Ariel Miller FNP</t>
  </si>
  <si>
    <t>Need Sept physical visit</t>
  </si>
  <si>
    <t>4015 I-45 North, Suite 220 Conroe, TX 77304</t>
  </si>
  <si>
    <t xml:space="preserve">Dr. Jeremy Laningham                                                                Dr. Simi Mary Koshy                                                                Laura Tarabocchia FNP                                                                            Jennifer Moore FNP                                                                    Trisha Coover FNP                                                                                             Tate Stauffer FNP                                                                  </t>
  </si>
  <si>
    <t>PCP for Life</t>
  </si>
  <si>
    <t>179 IH-45 S, Suite 300, Huntsville, Texas 77340</t>
  </si>
  <si>
    <t>PH: 281-968-4096 
FAX: 832-559-8584                                             feedback@pcpforlife.com                                            https://www.pcpforlife.com/</t>
  </si>
  <si>
    <t>MD Nadjmuddin Karimjee
N-Dr. Mohammed Karimjee
N-Dr. Sakina Broachwala 
 N- Dr. Arwa Laheri
PA's: Jessica Laabs
Karen Marler
NPs:  Samantha Bioseh
Natalee Calais
Kristy Carroll
Dorothy Currier
Kim Hoang
Nizar Nayani
Huy Nguyen
Audrey Pika
Nhi Quangz
Clavis Registe
Joseph Sande
Zachary Sheppard
Worship Simbabure
Joseph Sande</t>
  </si>
  <si>
    <t>8/25/25---Lunch set for Thursday 9/25/25 with "main Karimjee" RESTRICTIONS: NO PORK, spoke w/ Megan office manager? 12:00 noon, 12-15 staff, the "Karimjee alternate every other Thursday at the HV location</t>
  </si>
  <si>
    <t>Anderson Direct Healthcare</t>
  </si>
  <si>
    <t>114 W Buffington Ave Suite B Anderson, TX 77830</t>
  </si>
  <si>
    <t>936-261-7768</t>
  </si>
  <si>
    <t>Joshua Dubose
Gwendolyn Dubose</t>
  </si>
  <si>
    <t>2 hour drive</t>
  </si>
  <si>
    <t>Still send a card</t>
  </si>
  <si>
    <t>Kelsey-Seybold Clinic</t>
  </si>
  <si>
    <t>100 Medical Center Parkway, Suite 1000 Huntsville, TX 77340</t>
  </si>
  <si>
    <t>936-295-8000
https://www.kelsey-seybold.com/</t>
  </si>
  <si>
    <t xml:space="preserve">Lowell Rollins, MD
John Knight, MD  
Jayne Schulte, MD
Jacqueline Gibson, FNP-C
Jahazeb Shaikh, MD
Jamie Green, FNP
Peter Ang, MD
 </t>
  </si>
  <si>
    <t>Physical visit and thank you pastry 5/15/25
Physical visit and thank you cookies 8/28/25</t>
  </si>
  <si>
    <t>690 S. Loop 336 W., Suite 222,
Conroe, TX 77304</t>
  </si>
  <si>
    <t xml:space="preserve"> 713-442-6661</t>
  </si>
  <si>
    <t>Dr. Laurie McKillip, Pedia
Dr. Moses Osoro, Cardio
Dr. Tesfai Tekle, Gastro
Dr. Robin Jacob, Interventional Cardio
Dr. Rury J. Santiago Guzamn, FM
Dr. Adaobi Atueyi, FM, PC
Dr. Jack Pieniazek, FM, PC
Robin Dull, FM, PC</t>
  </si>
  <si>
    <t>106 Vision Park Blvd., Shenandoah, TX 77384</t>
  </si>
  <si>
    <t>713-442-1800</t>
  </si>
  <si>
    <t>Dr. Chelsey Abraham
Dr. Leonardo Espitia
Dr. Rumana Hoque
Dr. Nina Christine Josue
Dr. Phetsamong Nhonthachit, MD
Yvonne Ntukogu, FNP-C
Dr. James Payne
Jennifer White, FNP-C</t>
  </si>
  <si>
    <t>Highland Woods Health: Panther Creek</t>
  </si>
  <si>
    <t>4840 W Panther Creek Drive Suite 107 The Woodlands, TX 77381</t>
  </si>
  <si>
    <t>Office (281) 292-1192
Fax (281) 367-0396
https://www.myprivia.com/highlandwoodshealth</t>
  </si>
  <si>
    <r>
      <t xml:space="preserve">Dr. Christopher D. Prihoda
Dr. Tamara L. Small
</t>
    </r>
    <r>
      <rPr>
        <strike/>
        <sz val="10"/>
        <color rgb="FF000000"/>
        <rFont val="Arial Narrow"/>
      </rPr>
      <t xml:space="preserve">Megan Border NP
</t>
    </r>
    <r>
      <rPr>
        <sz val="10"/>
        <color rgb="FF000000"/>
        <rFont val="Arial Narrow"/>
      </rPr>
      <t xml:space="preserve">Sarah Johnson NP /
Ginger Patel NP /
</t>
    </r>
    <r>
      <rPr>
        <strike/>
        <sz val="10"/>
        <color rgb="FF000000"/>
        <rFont val="Arial Narrow"/>
      </rPr>
      <t xml:space="preserve">Jonathan Brown PA
</t>
    </r>
    <r>
      <rPr>
        <sz val="10"/>
        <color rgb="FF000000"/>
        <rFont val="Arial Narrow"/>
      </rPr>
      <t>Lynn McInnis NP /</t>
    </r>
  </si>
  <si>
    <t>5/30/2025 lunch delivered and letters mailed
Physical visit and thank you cookies 9/3/25</t>
  </si>
  <si>
    <t>Alden Bridge:
8000 Research Forest Drive, Suite 360. Woodlands, TX 77382
(Virtual Visits: 7AM-5PM)</t>
  </si>
  <si>
    <t>Same as above?
Office (281) 292-1192
Fax (281) 367-0396</t>
  </si>
  <si>
    <t>Dr. John E. Walker
Dr. Scott A. Kahney
Dr. Thanh D. Ngo
Dr. Clifford W. Yut
Dr. Jessica A. Aheron
Dr.  Alyssa Ellerbrock
Matthew Burnham, APRN, FNP-C
Dr. Meredith B. Young, DO
Stephanie D. Davis, APRN, FNP-C
Shannon Varner, PA-C
Marina Kamyshin, PA-C
Sydney Payne, PA-C
David Blackshear, APRN, FNP-C</t>
  </si>
  <si>
    <r>
      <rPr>
        <sz val="10"/>
        <color rgb="FF000000"/>
        <rFont val="Arial Narrow"/>
      </rPr>
      <t xml:space="preserve">October 22, 2025 - Rescheduled Lunch on February 4, 2025 | Lunch is set on Wed. Feb. 4th. 11:45am. DELIVERED: 11:45 am. RESTRICTIONS: 3 vegetarians. Spoke with Debby, 25-30 (for confirmation). - To be confirmed on Feb. 2.
</t>
    </r>
    <r>
      <rPr>
        <sz val="10"/>
        <color rgb="FFC00000"/>
        <rFont val="Arial Narrow"/>
      </rPr>
      <t>Jan. 4th _ LUNCH WAS CANCELLED BECAUSE DR. A ALREADY MET WITH THEM, PLAN TO SEND A THANK YOU VISIT</t>
    </r>
  </si>
  <si>
    <t>Genesis Medical Group</t>
  </si>
  <si>
    <t>130 Medical Center Pkwy Ste 6, Huntsville, TX 77340</t>
  </si>
  <si>
    <t>Phone: (936) 500-9500
Fax Number: 855 - 308 - 0364
Website: https://www.genesishuntsville.com</t>
  </si>
  <si>
    <t>Trey Young
Gregory McKeever
Kerri Cravey FNP
Landon Garnett, FNP</t>
  </si>
  <si>
    <t>Physically went to office to check in 1/16/25
Physical visit and thank you pastry 5/15/25
Physical visit and thank you cookies 8/28/25</t>
  </si>
  <si>
    <t>102 Medical part Ln. Ste. A, Hunstville, TX 77340</t>
  </si>
  <si>
    <t>(936) 500-9500
Fax Number: 855 - 308 - 0364
Email: scheduling@genesisdoctors.com</t>
  </si>
  <si>
    <t>Dr. Gregory McKEever
Lisa Parrott, FNP
Ana Olvera-Torres, FNP</t>
  </si>
  <si>
    <t>David Michalak Family Medicine</t>
  </si>
  <si>
    <t>4840 W Panther Creek Dr #101, The Woodlands, TX 77381</t>
  </si>
  <si>
    <t>(281) 367-1720
fax 281-335-6688
https://www.doctormichalak.com/</t>
  </si>
  <si>
    <t>Dr. David Michalak</t>
  </si>
  <si>
    <t>already booked a lunch thru Robbie\</t>
  </si>
  <si>
    <t xml:space="preserve">
Texas Surgery Center</t>
  </si>
  <si>
    <t>130 Medical Center Pkwy # 10, Huntsville, TX 77340</t>
  </si>
  <si>
    <t>PH: (936) 435-0833
FAX: 936-435-0395
https://doctors.wellmedhealthcare.com/locations/details/15484</t>
  </si>
  <si>
    <t xml:space="preserve"> </t>
  </si>
  <si>
    <t>Nabeel Khan, MD</t>
  </si>
  <si>
    <t>130 Medical Center Pkwy Ste 1, Huntsville, TX 77340</t>
  </si>
  <si>
    <t>(936) 243-5579
fax: 866-441-1668</t>
  </si>
  <si>
    <t>Mutaza Mahesri, MD</t>
  </si>
  <si>
    <t>(936) 436-1786</t>
  </si>
  <si>
    <t>Woodlands Family Medicine</t>
  </si>
  <si>
    <t>4185 Technology Forest Blvd. Suite 210 The Woodlands, TX 77381</t>
  </si>
  <si>
    <t>(936) 447-9483</t>
  </si>
  <si>
    <t>Brent Allmon MD FAAFP
Lauren Michels DO
Victoria Long FNP-C</t>
  </si>
  <si>
    <t>lunch delivered 2/26/25
Physical visit and thank you cookies 9/3/25</t>
  </si>
  <si>
    <t>Pulmonology Critical Care &amp; Sleep Associates</t>
  </si>
  <si>
    <t>600 South Conroe Medical Drive Ste 101 Conroe, TX 77304</t>
  </si>
  <si>
    <t>Tel: 936-242-6957
Fax: 936-242-6958</t>
  </si>
  <si>
    <t>Ashesh Desai MD</t>
  </si>
  <si>
    <t>October 16, 2025 - Talked to Len and was told to email Office Manager thru this email: pccsa.conroe@gmail.com</t>
  </si>
  <si>
    <t>SHSU Physicians</t>
  </si>
  <si>
    <t>1169 Grand Central Parkway Building E, Conroe, TX 77304</t>
  </si>
  <si>
    <r>
      <rPr>
        <strike/>
        <sz val="10"/>
        <color rgb="FF000000"/>
        <rFont val="Arial Narrow"/>
      </rPr>
      <t>(936) 525-3600</t>
    </r>
    <r>
      <rPr>
        <sz val="10"/>
        <color rgb="FF000000"/>
        <rFont val="Arial Narrow"/>
      </rPr>
      <t xml:space="preserve"> | 936-228-3883
https://www.shsuphysicians.com/</t>
    </r>
  </si>
  <si>
    <t>FM: Craig Boudreaux, DO
Ouida Collins, MD
Megan Woolford, MD
Elizabeth Sargent, DO
IM: Victor Hsiao, MD
Megan Powell, MD
Glenda Read, MD
Candace Walkley, MD
Others: Lesley Gardiner, MD
Natasha Shah, MD
Peter Curka, DO
Simeon Nittala, DO
Dennis C. Rau, Jr., DO
Karen Nelson, PhD</t>
  </si>
  <si>
    <t xml:space="preserve">
Dr. A &amp; Dr. D went to meet and greet 2/12 @ 5:30, I went to ribbon cutting elarier during day
Physical visit and thank you cookies 9/3/25
</t>
  </si>
  <si>
    <t>Main Street Medical Clinic</t>
  </si>
  <si>
    <t>521 I-45 Suite 2B, Huntsville, TX 77340</t>
  </si>
  <si>
    <t>(281) 528-4100</t>
  </si>
  <si>
    <t>Dr. Abbas Jafri, M.D., F.A.C.P
ALI RAZA, MD  
LAUREN REYES MSN, APRN, AGNP-C
DUSTY BEST MSN, APRN, FNP-C 
 NAJLA GREEN MSN, APRN, FNP-C
MEGAN COWLES MSN, APRN, FNP-C</t>
  </si>
  <si>
    <t>Physically went to office to check in 5/16/25</t>
  </si>
  <si>
    <t>415 Woodline Drive, Spring, Texas 77386</t>
  </si>
  <si>
    <t>PH:  281.528.4100                                                            FAX: 281.528.4099                                          https://www.mainstreetclinics.com/</t>
  </si>
  <si>
    <t>Lunch is set on Aptil. 20th. 1:45 PM. DELIVERY: 12 PM. RESTRCITIONS: No Pork. Spoke with Liza, 7 staff. Email: Icastro.msmc@gmail.com | PH: 936-270-9019. To be confirmed on April. 17th.</t>
  </si>
  <si>
    <t>IKP Family Medicine: Woodlands/Conroe</t>
  </si>
  <si>
    <t>11026 HWY 242 Conroe, TX 77385
Trailer house with silver water tower “thing” out front</t>
  </si>
  <si>
    <t>Tel: 281.587.1700
Fax: 281.907.6003
https://ikpfm.com/</t>
  </si>
  <si>
    <t>Dr. Rohit Kashyap
Dr. Pratik Patel
Dr. Alejandra Pameros-Irvine
Dr. Mark Westbrook
Dr. Timothy Irvine
Dr. Anna Lavrova
Lauren Thomson, PA-C
Lady Box, NP
Colleen Manning, NP
Tanya Casagrande, PA
Shannon Blackburn, NP</t>
  </si>
  <si>
    <t>October 16, 2025 - LVM to Trianna | October 17, 2025 - Busy, LVM</t>
  </si>
  <si>
    <t>October 20. 2025</t>
  </si>
  <si>
    <t>One Medical (Amazon)</t>
  </si>
  <si>
    <t>1501 Lake Robbins Dr #100, The Woodlands, TX 77380</t>
  </si>
  <si>
    <t>(888) 663-6331</t>
  </si>
  <si>
    <t>Paola Batista, MD</t>
  </si>
  <si>
    <t>October 13. 2025 - Called but wrong number | Talked to Ashley and said that I can booked the lunch through their website | 10/14/25 - the website needs payment to sched appointment, contact the provider again | 10/16/25 - Called again but I was on queue for 17 minutes</t>
  </si>
  <si>
    <t>HMH Rural Clinic</t>
  </si>
  <si>
    <t>125 Medical Park Lane, Suite C Huntsville, TX 77340</t>
  </si>
  <si>
    <t>Phone: (936) 291-3219
Fax: (936) 291-7206
https://www.huntsvillememorial.com/hmh-clinics/rural-health-care-clinic/</t>
  </si>
  <si>
    <t>"Blanca Quintanilla, APRN-CNP
 Gabriel Gbenga Ohiani-Jegede, FNP-BC
 Shamaila Haris, MD
 Townes “Tucker” Leigh, DO
 Valerie Hopper, DO
Curtis Edward Montgomery, MD
Yolunda Watherspoon Nolen, FNP-BC"</t>
  </si>
  <si>
    <t>1/16/25 Physically went to office, office manager not avaliable
Physical visit to office and thank you pastry 5/15/25
Physical visit  and thank you cookies 8/28/25
Lunch Delivered12/30/2025</t>
  </si>
  <si>
    <t>Marcjh</t>
  </si>
  <si>
    <t>Affliates of Family Medicine: Conroe</t>
  </si>
  <si>
    <t>503 Medical Center Blvd, #100 Conroe, TX 77304</t>
  </si>
  <si>
    <t>Phone: 936-788-1060
Fax:  936- 788- 2844
https://affiliatesoffamilymedicine.com/</t>
  </si>
  <si>
    <t>Elena Garcia MD
Estella Rodriguez-Alonso MD
Leticia Garcia-Cseay MD (Spring and Conroe)</t>
  </si>
  <si>
    <t>Lunch delivered 3/19/25
Physical visit and thank you cookis 9/3/25</t>
  </si>
  <si>
    <t>28517 Spring Trails Ridge, Suite 100 Spring, TX 77386</t>
  </si>
  <si>
    <t>Phone: 281-362-5436
Fax: 281-651-5451</t>
  </si>
  <si>
    <t>Dr. Leticia Garcia-Cseay MD
Dr. April Rambarran MD</t>
  </si>
  <si>
    <t>October 16, 2025 - LVM to Trianna                           October 17, 2025 - Busy, LVM</t>
  </si>
  <si>
    <t>Conroe Family Doctor</t>
  </si>
  <si>
    <t>1020 RIVERWOOD CT, SUITE 100
CONROE, TEXAS 77304</t>
  </si>
  <si>
    <t>PHONE: (936) 441-2012
FAX: (936) 494-4012
EMAIL: CONTACT@CONROEFAMILYDOCTOR.COM
https://conroefamilydoctor.com/</t>
  </si>
  <si>
    <t>DR. TRANG NGUYEN, FM
CASEY J. CHISUM NP
MICHELLE HOBBS NP
BETHANY MANARD NP (on leave 12/18/24)
LOURDES ORELLANA PA
Anh Nguyen, FNP</t>
  </si>
  <si>
    <t xml:space="preserve"> 1/15/25 physically went to office dropped off info provided </t>
  </si>
  <si>
    <t>Family Healthcare Affiliate PLLC</t>
  </si>
  <si>
    <t>800 Riverwood Ct, Suite 105, Conroe, TX 77304</t>
  </si>
  <si>
    <t>Phone: 936-760-4454
Fax: 936-760-4415
https://fhaconroe.com/index.php</t>
  </si>
  <si>
    <t>Maribeth Moore, DO 
Kara Kern, MD
Ashley Cox, MSN, APRN, FNP-C
Amanda Shankle, NP</t>
  </si>
  <si>
    <t>Lunch delivered 7/24/25
Physical visit and thank you cookies 9/3/25</t>
  </si>
  <si>
    <t>Conroe Family Physicians
(College Park Medicine merged with them on 8/1/25)</t>
  </si>
  <si>
    <t>690 S. Loop 336 W #140, Conroe, Texas 77304</t>
  </si>
  <si>
    <t>936-523-7041
https://conroefamilyphysicians.com/</t>
  </si>
  <si>
    <t>Christopher Chapman, MD
Samson Sheih, MD
Samantha Hinds-Campa, MD
Jennifer Kemmerer, PA
William McDonough, MD*
Abigail Striblea FNP,*
Duyen Wolken PA-C*</t>
  </si>
  <si>
    <t>Physical visit and thank you cookies 9/3/25</t>
  </si>
  <si>
    <t>Lunch set up needed since merged w/College Park Medicine on 8/1/25</t>
  </si>
  <si>
    <t>Woodroome Medical PA</t>
  </si>
  <si>
    <t>14181 US-190, Onalaska, TX 77360 (1hr. drive)</t>
  </si>
  <si>
    <t>"(936) 646-7541
Fax: 936-646-7543
https://woodromemedicalpa.com/onalaska-family-clinic-office.php"</t>
  </si>
  <si>
    <t>Robert G. Woodrome, MD</t>
  </si>
  <si>
    <t>October 16, 2025 - Reached out but was told to email the office manager: Donya. d.dwal@wd-fm.com</t>
  </si>
  <si>
    <t>Physicians' Group of The Woodlands</t>
  </si>
  <si>
    <t>134 Vision Park Blvd suite 300, Shenandoah, TX 77384</t>
  </si>
  <si>
    <t>Office (281) 296-8500
Fax (281) 296-8591</t>
  </si>
  <si>
    <t>Thimos G. Paschalis, MD
William A. Fridley, MD
Patricia Allamon, MD
Amy Chung, DO
Lindsay Domangue, PA-C
Jennifer Fitzgerald, NP
Vivian Mundo, MSPA
Olivia Boggan, PAC
Kelsea Kill, PA-C
Morgan Londenberg, FNP-C
Frank McGrew, PA-C</t>
  </si>
  <si>
    <t>Lunch delivered 3/25/25
Physical visit and thank you cookies 9/3/25</t>
  </si>
  <si>
    <t>College Park Medicine (merged w/Conroe Family Physicians 8/1/25)</t>
  </si>
  <si>
    <t>Tel: 936-523-7041</t>
  </si>
  <si>
    <t>Christopher Chapman, MD
Samson Sheih, MD
Samantha Hinds-Campa, MD
William McDonough, MD
Jennifer Kemmerer, PA-C
Abigail Striblea, FNP-BC
Duyen Wolken, PA-C</t>
  </si>
  <si>
    <t xml:space="preserve">lunch delivered 6/4/25 </t>
  </si>
  <si>
    <t>Magnolia Family Medicine: Magnolia Location
*multiple location in multiple cities*</t>
  </si>
  <si>
    <t>6912 FM 1488, Suite A Magnolia, TX 77354</t>
  </si>
  <si>
    <t>281-356-1945</t>
  </si>
  <si>
    <t>FROM WEBSITE:
Brittany Wisniewski, PA
Christian Dyhianto, MD
Amitkumar Patel, MD
Wendy Valencia, PA
Feras Elhajj, MD
Maria Delost, NP
Caroline Sizemore, PA
Codie Borsboom, NP
Youstina Zakaria, DPM</t>
  </si>
  <si>
    <t>LVM Becca Office manager</t>
  </si>
  <si>
    <t>10020 Research Forest Dr, Suite D, The Woodlands, TX 77354</t>
  </si>
  <si>
    <t>Dr. Feras Elhajj - FM
Dr. Laura Gerla - FM
Jerod McKeehan, NP</t>
  </si>
  <si>
    <t xml:space="preserve">Jan. 16 - Lunch is set on April 8th, Wed. 12PM. DELIVERY: 11:45 AM. RESTRICTIONS: None. Spoke with Brianna, 12 staff with 3 providers. Email: frontdesk@mfm.care. - To be confirmed on April 6th. </t>
  </si>
  <si>
    <t>Kianah added this because they have woodlands loc. available</t>
  </si>
  <si>
    <t>6910 FM 1488, Suite 8 Magnolia, TX 77354 (Walk-n Clinic)</t>
  </si>
  <si>
    <t>"281-356-1945
https://www.mydocmd.com/"</t>
  </si>
  <si>
    <t>FROM WEBSITE:
Youstina Zakaria, DPM
Syed Kazmi, MD</t>
  </si>
  <si>
    <t>October 16, 2025 - LVM to Office Manager | October 16, 2025 - LVM</t>
  </si>
  <si>
    <t>St. Lukes's ER Huntsville</t>
  </si>
  <si>
    <t>540 Interstate 45S Suite E Huntsville Tx, 77340</t>
  </si>
  <si>
    <t>936-439-4850</t>
  </si>
  <si>
    <t>Dr. Salooja</t>
  </si>
  <si>
    <t>Woodlands Family Practice</t>
  </si>
  <si>
    <t>1055 Evergreen Circle The Woodlands, TX 77380</t>
  </si>
  <si>
    <t>(281) 363-3560</t>
  </si>
  <si>
    <t>Dr. Niemeyer
Dr. Yau
Dr. Powellson</t>
  </si>
  <si>
    <t>Lunch was declined on 11/26/25. 
Need Physical Visit</t>
  </si>
  <si>
    <t>Dr. Balakrishna R. Mangapuram, MD</t>
  </si>
  <si>
    <t>9004 Forest Crossing Dr, The Woodlands, TX 77381</t>
  </si>
  <si>
    <t>(281) 364-6677</t>
  </si>
  <si>
    <t>October 16. 2025 - Busy                                                     October 17, 2025 - Busy</t>
  </si>
  <si>
    <t>Family Medicine Clinic &amp; Women’s Health</t>
  </si>
  <si>
    <t>9000 Forest Crossing The Woodlands, TX 77381</t>
  </si>
  <si>
    <t>(281) 681-0616</t>
  </si>
  <si>
    <t>Dr. Mouhamed H. El Zufari -FM
Sandeep Pinnapureddy, DO
Asmi F. Alam, MD
Anjali Reddy, FNP-C</t>
  </si>
  <si>
    <t>October 16, 2025 - LVM to Office Manager                     October 17, 2025 - LVM</t>
  </si>
  <si>
    <t>TDDC: Texas Digestive Disease Consultants - Woodlands Location</t>
  </si>
  <si>
    <t>26103 Interstate 45 Ste 100 Spring, TX 77380</t>
  </si>
  <si>
    <t>281-764-9500</t>
  </si>
  <si>
    <t>FROM WEBSITE:
Ilyas Memon, MD
Atif Shahzad, MD</t>
  </si>
  <si>
    <t>October 16, 2025 - LVM to Mark"October 16, 2025 - LVM to Mark 
October 17, 2025 - LVM
October 20, 2025 - Declined, do not accept lunches"</t>
  </si>
  <si>
    <t>Advanced Rheumatology Woodlands</t>
  </si>
  <si>
    <t>10857 Kuykendahl Rd Suite 160 The Woodlands, Tx 77382</t>
  </si>
  <si>
    <t>(281) 519-6325                                                  https://advancedrheum.com/about-us/</t>
  </si>
  <si>
    <t>Dr. Tamar F. Brionez</t>
  </si>
  <si>
    <t xml:space="preserve"> Lunch is set on April 10th, 11:30AM-12PM. DELIVERY: 11:30AM. RESTRICTIONS: Anaphhylactic Avocado Allergy. Booke with Rxvantage, 20 staff (How many providers?) - To be confirmed April 8th</t>
  </si>
  <si>
    <t>Lakeside Gastroenterology - Conroe</t>
  </si>
  <si>
    <t xml:space="preserve">2 LOCATIONS                                                                                                              (1) 690 South Loop 336 West, Suite 215, Conroe, TX 77304                                                         </t>
  </si>
  <si>
    <t>(936) 828-3962
Website: https://drnelsontajong.com/</t>
  </si>
  <si>
    <t>Nelson Tajong, MD
Ndeloke Tajong, RN</t>
  </si>
  <si>
    <t>Dec. 17 - Lunch Delivered and sent Post Meeting TY Letter</t>
  </si>
  <si>
    <t xml:space="preserve"> (2) 18354 Interstate 45 Shenandoah, TX 77385</t>
  </si>
  <si>
    <t>Respiratory and Sleep Disorder Specialist-The Woodlands</t>
  </si>
  <si>
    <t>1111 Medical Plaza Drive, The Woodlands, TX 77380</t>
  </si>
  <si>
    <t>Office: 281-296-8788</t>
  </si>
  <si>
    <t>Dr. Wael Asi</t>
  </si>
  <si>
    <t>Practice manager susan cell 936-647-9969
5/25/25, 6/3/25, 6/5/25, 7/28/25, they are their own entity not part of Texas Oncology or Millennium</t>
  </si>
  <si>
    <t>NEED TO FOLLOW</t>
  </si>
  <si>
    <t>Houston Center for Infectious Diseases-The Woodland</t>
  </si>
  <si>
    <t>1111 Medical Plaza Drive Ste 170, The Woodlands Tx 77380</t>
  </si>
  <si>
    <t>Tel: (281) 444-1303
Fax: (281) 444-516
https://houstoncenterforinfectiousdiseases.com/</t>
  </si>
  <si>
    <t>Leonardo Palau, MD
Dr. Sawyer Ricker
Dr. Vipul Desai, MD FACP
Dr. Timothy Chen
Dr. Matthew Schilling, MD
Dr. Rahat Vohra
Hamilton Leonard Cessac
Bernadette C. Brown
Mandie Dixon</t>
  </si>
  <si>
    <t>Lunch delivered 6/20/25 and letters mailed, Met with Dr. Desai and Dr. Klingen, Dr. Palau on vacation
Physical visit and thank you cookies 9/3/25</t>
  </si>
  <si>
    <t>Houston Center for Infectious Diseases-Conroe</t>
  </si>
  <si>
    <t>600 S. Conroe Medical Drive Ste 103, Conroe Tx 77304</t>
  </si>
  <si>
    <t>281-444-1303</t>
  </si>
  <si>
    <t>Dr. Vipul Desai, MD FACP
Dr. Timothy Chen
Dr. Matthew Schilling, MD
Dr. Rahat Vohra</t>
  </si>
  <si>
    <t>Need to set up lunch for Conroe Location</t>
  </si>
  <si>
    <t>Greater Houston Family Medicine</t>
  </si>
  <si>
    <t>100 Medical Center Blvd Suite 104 Conroe, TX 77304</t>
  </si>
  <si>
    <t>Phone: (936) 756-2888
Fax : (936) 756-2892
frontdesk@ghfamilymed.com</t>
  </si>
  <si>
    <t>John Adiet, MD</t>
  </si>
  <si>
    <t>Lunch delivered 2/12/2025
Physical visit and thank you cookies 9/3/25</t>
  </si>
  <si>
    <t>Kidney Specialists of North Houston: Conroe</t>
  </si>
  <si>
    <t>500 Medical Center Blvd., Ste 280 Conroe, TX 77304</t>
  </si>
  <si>
    <t>Office: 936.273.0836
Fax: 936-321-2266</t>
  </si>
  <si>
    <t>FROM WEBSITE - NEED TO CALL - 2 LOCATIONS
Dr. Amanda Walton Basford
Dr. Adam I. Frome
Dr. Ojas A. Naik
Dr. Syed M. Zaidi
Dr. Parveen
Christiana N. Unigwe, N.P.</t>
  </si>
  <si>
    <t>October 30 - LVM
October 31 - They are not open for lunch</t>
  </si>
  <si>
    <t>129 Vision Park Blvd. Suite 109, The Woodlands, TX 77384</t>
  </si>
  <si>
    <t xml:space="preserve">Enihealthcare </t>
  </si>
  <si>
    <t>9319 Pinecroft Drive Ste 120, The Woodlands Tx 77380</t>
  </si>
  <si>
    <t>(936)321-1946
Fax: 936-321-8271
Email: info@doctoreni.com
Website: https://enihealthcare.com/</t>
  </si>
  <si>
    <t>Dr. Ike Eni
Casey Landreneau, FNP-C
Constance Page, NP-C</t>
  </si>
  <si>
    <t>Lunch delivered 5/23/2025
Physical visit and thank you cookies 9/3/25</t>
  </si>
  <si>
    <t>Willis Urgent Care</t>
  </si>
  <si>
    <t>Kroger Parking Lot, 12717 Interstate 45 N Suite 300, Willis, TX 77318</t>
  </si>
  <si>
    <t>(936) 228-7598
besturgentcarePLLC@gmail.com</t>
  </si>
  <si>
    <t>Dr. Brian J. Kempton MD, FAAEM
Owner, Medical Director
Donald Hicks, PA-C
Lauren Campbell,  APRN FNP-C
Amanda McMillan, PA- C
Glen Wiley, APRN, FNP-C, MBA
Erica Young PA -C</t>
  </si>
  <si>
    <t>October 30 - Lunch set on Monday, Dec. 29th, 1pm. DELIVERY: 12:45 pm. RESTRICTIONS: (For confirmation). Spoke with Leslie, 3 staff. Email: urgent.care.willis@gmail.com - MEET: 1pm. To be confirmed on Dec. 26th 
Dec. 4 - cancelled due to Dr. A's conflict of schedule</t>
  </si>
  <si>
    <t>February</t>
  </si>
  <si>
    <t>Health Center of Southeast TX</t>
  </si>
  <si>
    <t>307 North William Barnett Avenue Cleveland, TX 77327</t>
  </si>
  <si>
    <t>(346) 532-2068</t>
  </si>
  <si>
    <t>CALL TO CONFIRM:
DR. JASMINE SULAIMAN MD, FAAFP Medical Director and Family Practice
CRYSTAL HOLLOWAY, N.P Family Practice
Nurzy Mathew, NP Family Practice
Pauline Mopur, NP Family Practice
Maria Rojas, RN, MSN, FNP-C Family Practice &amp; Pediatrics
Lily B. Guadalquiver, DNP, ARNP, FNP-C Family Practice
Ana Garza MSN, FNP-C, ENP Family Practice
Elynita Sabado, NP Family Practice
Dr. Tamanna Ferdous, MD
Family Practice &amp; Pediatrics</t>
  </si>
  <si>
    <t>Tomball Regional Internal Medicine Associates</t>
  </si>
  <si>
    <t>13414 Medical Complex Dr #6 Tomball, TX 77375</t>
  </si>
  <si>
    <t>Office: (281) 516-0212
Fax: (281) 255-3320
Answering Service: (281) 453-9325</t>
  </si>
  <si>
    <t xml:space="preserve">S. Sinatora M.D.
J. Beatie M.D., F.A.C.P.
M. Lang-Williams M.D .
Iqnoor Bains, MD
</t>
  </si>
  <si>
    <t>Lone Star Family Medicine: Conroe</t>
  </si>
  <si>
    <t>605 S. Conroe Medical Drive , Conroe, Texas 77304</t>
  </si>
  <si>
    <t>936.539.4004 
Fax: 936.539.5997</t>
  </si>
  <si>
    <t>Love Opoku Afrifa, DO
Marwan M. Al-Khudhair, MD
Kristen Alonso, DO
Jeremy Brandon, MD
Amanda Chau, DO
Angela Chen, MD
Maanasa Chittari, MD
Christian Colin, MD
Savannah Cruz, MD
Jordan Curl, MD
Kenneth G. Davis, MD
Oula Eldow, DO
Nicole Fakes, DO
Margot Favret, MD
Allen Fellers, MD
Pamela G. Ferry, MD
Syed Haidry, DO
Gage Hallbauer, MD
Gabriel Hapenciuc, DO
Jamie Hogan, PA-C
Amir Hossain, DO
Adel Ibrahim, MD</t>
  </si>
  <si>
    <t>/</t>
  </si>
  <si>
    <t>Lone Star Family Health Center: Willis</t>
  </si>
  <si>
    <t>9516 West FM 1097, Ste 140 , Willis, Tx 77318</t>
  </si>
  <si>
    <t>936.539.4004
Fax: 936.224.4205</t>
  </si>
  <si>
    <t>Scott Kearney, FNP-C
Alyssa Molina, MD
Sharon Leasure, LPC</t>
  </si>
  <si>
    <t>Lunch delivered 6/25/25
Physical visit and thank you cookies 9/3/25</t>
  </si>
  <si>
    <t>Lone Star Family Health Center: Huntsville</t>
  </si>
  <si>
    <t>227 SH 75 N Ste 130, Huntsville, Texas 77320</t>
  </si>
  <si>
    <t>936.539.4004
Fax: 936.291.0746
OM: cpavlock@lonestarfamily.org</t>
  </si>
  <si>
    <t>Lawrence Ede (M-Th)
Australia Clark (M-F)
Kim Norris (on medical leave)
Tina Spruell, FNP</t>
  </si>
  <si>
    <t>Need to set up lunch</t>
  </si>
  <si>
    <t>Lone Star Family Health Center: Spring</t>
  </si>
  <si>
    <t>440 Rayford Rd, Ste 150, Spring, Texas 77386</t>
  </si>
  <si>
    <t>936.539.4004
Fax: 281.419.1395</t>
  </si>
  <si>
    <t>Penelope McClendon, FNP
Cristina S. Hamme, MD</t>
  </si>
  <si>
    <t>Lone Star Family Health Center: Grangerland</t>
  </si>
  <si>
    <t>13905 Grangerland Road, Conroe, Texas 77306</t>
  </si>
  <si>
    <t>936.539.4004
Fax: 936.521.8449                                           https://www.lonestarfamily.org/</t>
  </si>
  <si>
    <t>"Love Opoku Afrifa, DO
Marwan M. Al-Khudhair, MD
Kristen Alonso, DO
Jeremy Brandon, MD
Lauren Breazeale, MD"</t>
  </si>
  <si>
    <t>"October 14, 2025 - Talked to Gretchen and said that she we call back because she is not sure. Gave our number
October 22, 2025 - Contacted office but wasn't able to reach anyone, ended the call"</t>
  </si>
  <si>
    <t>Surgical Specialist The Woodlands/Conroe</t>
  </si>
  <si>
    <t>100 Medical Center Blvd Suite 100 Conroe, TX 77304</t>
  </si>
  <si>
    <t>936-271-0665
Fax: 844-855-6799</t>
  </si>
  <si>
    <t>Dr. Mark A Johnson, MD</t>
  </si>
  <si>
    <t>Physical visit to office spoke w/Misty Lunch set for 9/12/25 
Lunch delivered 9/12/25</t>
  </si>
  <si>
    <t>Groveton Family Medical Clinic</t>
  </si>
  <si>
    <t>180 N Magee Ave, Groveton, TX 75845</t>
  </si>
  <si>
    <t>936-642-0841
Fax: 936-309-0086</t>
  </si>
  <si>
    <t>Dr. Cochran, MD
Keith Jones, PA-C
Lisa Proctor, FNP</t>
  </si>
  <si>
    <t>9/9/25 LVM to confirm address (will send thank you letter for recent referral)</t>
  </si>
  <si>
    <t>Need to follow</t>
  </si>
  <si>
    <t>do courtesy call</t>
  </si>
  <si>
    <t xml:space="preserve">(Woodlands Internal Medicine) 
</t>
  </si>
  <si>
    <t>129 Vision Park Blvd #300, Shenandoah, Tx 77348</t>
  </si>
  <si>
    <t>936-271-5400
9362715402
Website: https://www.woodlandsonline.com/cdps/cditem.cfm?nid=13787</t>
  </si>
  <si>
    <t xml:space="preserve">9/9/25 LVM   </t>
  </si>
  <si>
    <t xml:space="preserve">Memorial hermann Gasteroenterology </t>
  </si>
  <si>
    <t>9180 Pinecroft Dr, Ste 250, Shenandoah, TX 77380</t>
  </si>
  <si>
    <t>phone : 832-934-7675  https://www.huntsvillefamilymed.com/</t>
  </si>
  <si>
    <t>Dr. Vanitha Bala, MD</t>
  </si>
  <si>
    <r>
      <t xml:space="preserve">October 13, 2025 - Called but </t>
    </r>
    <r>
      <rPr>
        <sz val="10"/>
        <color rgb="FFC00000"/>
        <rFont val="Arial Narrow"/>
      </rPr>
      <t xml:space="preserve">DECLINED </t>
    </r>
    <r>
      <rPr>
        <sz val="10"/>
        <color rgb="FF000000"/>
        <rFont val="Arial Narrow"/>
      </rPr>
      <t>(K)</t>
    </r>
  </si>
  <si>
    <t xml:space="preserve">Guardian Faminly Medicine </t>
  </si>
  <si>
    <t>600 S. Conroe Medical Dr   Suite 104  Conroe, TX  77304</t>
  </si>
  <si>
    <t>936-304-1166                                           
Website: https://guardianfamilymedicine.com/</t>
  </si>
  <si>
    <t>Dr. Ara Jenevizian</t>
  </si>
  <si>
    <t xml:space="preserve">Succesful meeting 11/19/2025 </t>
  </si>
  <si>
    <t>DECEMBER</t>
  </si>
  <si>
    <t>Houston Health &amp; Sports Medicine</t>
  </si>
  <si>
    <t>Memorial Hermann Medical Plaza 4, 9180 Pinecroft Suite #390   The Woodlands, TX</t>
  </si>
  <si>
    <t>Phone: 281 - 939 - 5655                             Website: https://www.htxsportsmed.com/</t>
  </si>
  <si>
    <t>Dr. Aryanna Amini
Dr. Dominic Maneen</t>
  </si>
  <si>
    <t>Lunch delivered on 10/29/2025</t>
  </si>
  <si>
    <t>montgomery physician associates</t>
  </si>
  <si>
    <t>18059 Hwy 105 West Ste 120   Montgomery, TX 77356</t>
  </si>
  <si>
    <t>Phone: (936) 760-7880                                     https://montgomeryphysicianassociates.com/</t>
  </si>
  <si>
    <t>Gary N. Sharpless, MD</t>
  </si>
  <si>
    <r>
      <t xml:space="preserve">October 14, 2025 - Talked to Grace, </t>
    </r>
    <r>
      <rPr>
        <sz val="10"/>
        <color rgb="FFC00000"/>
        <rFont val="Arial Narrow"/>
      </rPr>
      <t>DECLINED</t>
    </r>
    <r>
      <rPr>
        <sz val="10"/>
        <color rgb="FF000000"/>
        <rFont val="Arial Narrow"/>
      </rPr>
      <t xml:space="preserve"> because Dr. Shapless is retiring (K)</t>
    </r>
  </si>
  <si>
    <t xml:space="preserve">stone creek family medicine </t>
  </si>
  <si>
    <t>19782 Hwy 105 W, Ste 111  Montgomery, TX 77356</t>
  </si>
  <si>
    <t>Phone 936-582-0220</t>
  </si>
  <si>
    <t>Jeremy McWilliams, DO
Ginger McMillian, FNP-C
Courtney Groves, FNP-C</t>
  </si>
  <si>
    <t>October 23, 2025 - Lunch is set on Friday, Nov. 14th, 12pm. DELIVERY: 11:45 am. RESTRICTIONS: None. Spoke with Norma, 12 staff. - MEET: 12pm. To be confirmed on Nov. 12
Nov. 12 - No Sched Lunch Acc. Norma. RESCHED</t>
  </si>
  <si>
    <t>Simple Traditions Family Health</t>
  </si>
  <si>
    <t>827 S Magnolia Blvd Suite 6   Magnolia, TX 77355</t>
  </si>
  <si>
    <t>mail:   contact@stfhealth.com                   Phone : 281-259-7400                                    fax: 888-502-3566                                              https://www.stfhealth.com/</t>
  </si>
  <si>
    <t>Paul Dibble MD                        Zeeshan Khan MD                              Rezel Aganio APRN FNP-C</t>
  </si>
  <si>
    <t>conroe physician associates</t>
  </si>
  <si>
    <t>508 Medical Center Blvd, Suite 200, Conroe, TX 77304</t>
  </si>
  <si>
    <t>Phone : (936) 760-4600 Email: https://conroephysicianassociates.com/</t>
  </si>
  <si>
    <t>Nimesh M Patel, MD</t>
  </si>
  <si>
    <t>"October 9, 2025 - Robbie LVM. 
October 13, 2025 - Called again and LVM
October 17, 2025 - LVM 
October 22, 2025 - LVM"</t>
  </si>
  <si>
    <t>HIKMA Integrative healthcare</t>
  </si>
  <si>
    <t>4714 FM 1488 STE 603  Conroe TX 77384</t>
  </si>
  <si>
    <t>Phone : (936) 242-1589                                         https://hikmahealthclinic</t>
  </si>
  <si>
    <t>Aishah Suleiman, MD
Muhammad Umair Qamar, MD</t>
  </si>
  <si>
    <t>October 24 - Lunch is set on Friday, Nov. 7th, 12pm. DELIVERY: 12pm. RESTRICTIONS: Vegetarian and Pescatarian. Spoke with Monica, 4 staff. Meet: 12pm. To be confirmed on Nov. 5</t>
  </si>
  <si>
    <t xml:space="preserve">Family medicine associate of conroe </t>
  </si>
  <si>
    <t>2236 N Loop 336 West, Conroe, TX 77304</t>
  </si>
  <si>
    <t>Phone :  (936) 441-2003
Website: https://www.myprivia.com/fmaconroe</t>
  </si>
  <si>
    <t>Dr. Gregg Hallbauer 
Dr. Sarah Hallbauer
Shawna Steffan, PAC</t>
  </si>
  <si>
    <t>Evergreen Spring Health and Wellness</t>
  </si>
  <si>
    <t>10107 Louetta Rd Suite 106, Houston Tx 77070</t>
  </si>
  <si>
    <t>phone: (832-241-8004)                    
Email: https://www.myprivia.com/evergreenspringshealth</t>
  </si>
  <si>
    <t>Dr. Grace Lee</t>
  </si>
  <si>
    <t>Lunch delivered on 10/31/2025</t>
  </si>
  <si>
    <t xml:space="preserve">Woodlands Diagnostic clincis </t>
  </si>
  <si>
    <t>9201 Pinecroft Dr, Suite 200
Shenandoah, TX 77380</t>
  </si>
  <si>
    <t>Main Phone: 281-863-9554
Main Fax: 281-651-4818
Website: https://clinic.woodlandsdiagnostics.com/
General Email: info@woodlandsdiagnostics.com</t>
  </si>
  <si>
    <t>Stephen Fillman, MD  
Todd Youngblood, MD 
Patrick Ogidan, MD  
Maria Charron, MD  
Sharon Ogidan-Smith, MD  
Natalie Gordon, MD</t>
  </si>
  <si>
    <t>Lunch Delivered on 12/3/2025 and Sent TYPCKG</t>
  </si>
  <si>
    <t>QLMD Direct Primary Care</t>
  </si>
  <si>
    <t>24914 Kuykendahl Rd Suite C, Tomball, TX 77375</t>
  </si>
  <si>
    <r>
      <t>https://qlmddpc.com/#about</t>
    </r>
    <r>
      <rPr>
        <sz val="10"/>
        <color rgb="FF0563C1"/>
        <rFont val="Arial Narrow"/>
      </rPr>
      <t xml:space="preserve">                          Phone: (346) 382-0666
Email: takecareofu@qlmddpc.co</t>
    </r>
  </si>
  <si>
    <t>1960 Physician Associates</t>
  </si>
  <si>
    <t>5039 Farm to Market 2920,
Spring, TX 77388                                                                                          3550 Rayford Rd Ste 110A
Spring TX, 77386</t>
  </si>
  <si>
    <t>Phone: (281) 586-3888 Fax: (832) 560-2162      https://www.1960pa.care/</t>
  </si>
  <si>
    <t>1960 Physician Associates - Central Scheduling
 A. 1960/ Red Oak Location
Dr. Jose Aguirre
Dr. Srijaya Bandi
Salim Durrani
Dr. Victor Escobar
Dr. Douglas LaCour M.D.
Dr. Ira Lieber
DR DEMI SERRANO DPT
 B. Cypress Location
Dr. Jose Aguirre
Dr. Syed Ahmed MD
Dr. Srijaya Bandi
Salim Durrani
Dr. Victor Escobar
Henry Grainger DO
Dr. Jorge Guerrero MD.
DR DEMI SERRANO DPT
 C. Spring Location
Dr. Jose Aguirre
Dr. Srijaya Bandi
Salim Durrani
Dr. Victor Escobar
DR DEMI SERRANO DPT
 D. Spring #2
Salim Durrani
DR DEMI SERRANO DPT</t>
  </si>
  <si>
    <t xml:space="preserve">only consider the sping or address, the one in rayford adn the one in 2920, call </t>
  </si>
  <si>
    <t>Added by kyan</t>
  </si>
  <si>
    <t>Tomball Familicare</t>
  </si>
  <si>
    <t>29214 Quinn Road Tomball, TX 77375</t>
  </si>
  <si>
    <t xml:space="preserve">
(281) 351-4208
</t>
  </si>
  <si>
    <t xml:space="preserve">
Dr. Michael Joe Whiteley</t>
  </si>
  <si>
    <t>Nov. 12 - Lunch is set on Wednesday, Feb 18, 12PM. DELIVERY: 12:15PM. RESTRICTIONS: Dr. Whiteley - No Fast Food, 1 staff doesn't eat avocado, 1 staff No Pork/Beef. Spoke with Angie, 14 staff. To be confirmed on Feb. 16th.</t>
  </si>
  <si>
    <t>Village Medical - Tomball</t>
  </si>
  <si>
    <t>155 School St, Suite 300 Tomball, TX, 77375</t>
  </si>
  <si>
    <t>281-255-3838                                                        https://www.villagemedical.com/our-providers/kristy-heatly#/?isExistingPatient=false&amp;reasonId=50</t>
  </si>
  <si>
    <t>Kristy Heatly, DO</t>
  </si>
  <si>
    <t>October 24, 2025 - LVM 30 minute drive</t>
  </si>
  <si>
    <t>720 Lawrence St Ste 100, Tomball, TX, 77375</t>
  </si>
  <si>
    <t xml:space="preserve">
281-351-7244                                                               https://www.drferay.com/                                                          </t>
  </si>
  <si>
    <t>Cotton Daniel Feray MD
Lance M. Feray, D.O.</t>
  </si>
  <si>
    <t>Village Medical at Walgreens - The Woodlands</t>
  </si>
  <si>
    <t>6467 Woodlands Pkwy., Suite A The Woodlands, TX, 77381</t>
  </si>
  <si>
    <t>832-376-3840                                                            FAx: 713-474-8131                                                     https://www.villagemedical.com/locations/texas/6467-woodlands-pkwy-the-woodlands-tx</t>
  </si>
  <si>
    <t>Anu Kelur Mariyappa MD                             Sunitha Alexander, MD                                  Krystle Harrison, PA-C                         Minni Malhotra, MD                           Sachin Senan, MD</t>
  </si>
  <si>
    <t>October 31 - They don't schedule lunches</t>
  </si>
  <si>
    <t>Village Medical - Shenandoah</t>
  </si>
  <si>
    <t>129 Vision Park Blvd., Ste. 205 Shenandoah, TX, 77384</t>
  </si>
  <si>
    <t>281-825-3344                                                             FAx: 281-825-3340                                          https://www.villagemedical.com/locations/texas/129-vision-park-blvd-ste-205-shenandoah-tx-77384</t>
  </si>
  <si>
    <t>Sunitha Alexander, MD                                 Jeanette Robles-Suarez, MD                            Sachin Senan, MD                                              Brittany Smith, FNP</t>
  </si>
  <si>
    <t>Village Medical at Walgreens - Conroe</t>
  </si>
  <si>
    <t>1120 N Loop 336 W, Suite A Conroe, TX, 77301</t>
  </si>
  <si>
    <t>346-646-4220
Fax: 713-461-5307                                                    https://www.villagemedical.com/locations/texas/1120-n-loop-336-w-suite-a-conroe-tx-77301</t>
  </si>
  <si>
    <t>John Morrow, MD                               Chanh Nguyen, MD                               Elizabeth Smith, FNP</t>
  </si>
  <si>
    <t>"Octobe 24, 2025 - Line was busy
October 27, 2025 - LVM
October 28, 2025 - Line is temporary Busy"</t>
  </si>
  <si>
    <t>Sparkman Family Medicine</t>
  </si>
  <si>
    <t>121 Vision Park Blvd, Suite 110,Shenandoah, TX 77384</t>
  </si>
  <si>
    <t xml:space="preserve">936-224-4976                                                  FAX: 936-209-4680         https://www.sparkmanmedicine.com/                          </t>
  </si>
  <si>
    <t>Chris Sparkman, MD                                               Tabatha Mize, APRN, FNP-C</t>
  </si>
  <si>
    <r>
      <rPr>
        <sz val="10"/>
        <color rgb="FF000000"/>
        <rFont val="Arial Narrow"/>
      </rPr>
      <t xml:space="preserve">October 28, 2025 - Spoke with Madison and said that Jenefer is the one who handles the scheduling, but she it unavailable.                                                         
</t>
    </r>
    <r>
      <rPr>
        <sz val="10"/>
        <color rgb="FF4472C4"/>
        <rFont val="Arial Narrow"/>
      </rPr>
      <t>October 31 - Spoke to Jenefer and told that they are not interested</t>
    </r>
  </si>
  <si>
    <t>Alden Health Center</t>
  </si>
  <si>
    <t>7901 Research Forest Drive
Suite 1400
The Woodlands,   TX   77382</t>
  </si>
  <si>
    <t>Phone:  281-296-5000    
Fax: 281 296-5099                                                  https://www.woodlandsonline.com/cdps/cditem.cfm?nid=2420</t>
  </si>
  <si>
    <t>Diaz, Luis N. MD</t>
  </si>
  <si>
    <t>October 28, 2025 - Talked to Liz, they are not accepting lunch meeting but will talk to Ana, OM if maybe they are interested to communicating with us.</t>
  </si>
  <si>
    <t>ZAK Medicak Group PA</t>
  </si>
  <si>
    <t>150 Pine Forest Dr, Ste 204, Conroe, TX  77384</t>
  </si>
  <si>
    <t>PH: 936-271-2222 
FAX: 936-270-2228 
Website: https://doctors.wellmedhealthcare.com/locations/details/7529</t>
  </si>
  <si>
    <t>Farhat Khan, MD 
Perwaiz Khan, MD</t>
  </si>
  <si>
    <t>Nov. 21 - LUNCH SET IS CANCELLED. Need to physically visit and drop off materials</t>
  </si>
  <si>
    <t>November 24th</t>
  </si>
  <si>
    <t>Family Medicine at Sterling Ridge</t>
  </si>
  <si>
    <t>10110 Woodlands Parkway, Ste 100, The Woodlands, TX 77382</t>
  </si>
  <si>
    <t>(281) 419-6565</t>
  </si>
  <si>
    <t>Dr. Raja Abusharr MD</t>
  </si>
  <si>
    <t>Nov. 3 - LVM                                                                                 Nov. 4 - LOH</t>
  </si>
  <si>
    <t>Woodlands Functional Family Medicine</t>
  </si>
  <si>
    <t>2626 Research Forest Drive,
The Woodlands, TX 77381</t>
  </si>
  <si>
    <t>281.298.5476
https://woodlandsfammed.com/</t>
  </si>
  <si>
    <t>Chaitali Nangrani, M.D</t>
  </si>
  <si>
    <t>Nov. 4 - Talked to Vivian and gave Tammy Simon (office manager) email: manager@vedasmedspa.com. She told me that It would be better to stop by</t>
  </si>
  <si>
    <t>NEED PHYSICAL VISIT</t>
  </si>
  <si>
    <t>Memorial Hermann</t>
  </si>
  <si>
    <t>3115 College Park Dr, Ste 107, The Woodlands, TX 77384</t>
  </si>
  <si>
    <t>(936) 321-6787 | (936) 321-6802 Fax                  https://memorialhermann.org/doctors/family-medicine-doctors/dr-michael-chang-do-1346237872</t>
  </si>
  <si>
    <t>Dr. Michael Chang, DO</t>
  </si>
  <si>
    <t>Next Door Office</t>
  </si>
  <si>
    <t>Complete Medicine/HeyHealthy</t>
  </si>
  <si>
    <t>9002 Six Pines Drive, The Woodlands, TX 77380</t>
  </si>
  <si>
    <r>
      <rPr>
        <u/>
        <sz val="10"/>
        <color rgb="FF0563C1"/>
        <rFont val="Arial Narrow"/>
      </rPr>
      <t xml:space="preserve">https://www.sacomplete.com/                                </t>
    </r>
    <r>
      <rPr>
        <sz val="10"/>
        <color rgb="FF000000"/>
        <rFont val="Arial Narrow"/>
      </rPr>
      <t>Phone: 210-591-8649
Fax: 231-251-2572
Email: support@sacomplete.com</t>
    </r>
  </si>
  <si>
    <t>Dr. Arti Thangudu,IM                                         
Dr. Vidhya Illuri                                                
Dr. Munira Mehta</t>
  </si>
  <si>
    <t xml:space="preserve">Nov. 6 - LVM
Nov. 7 - LVM
Nov. 11 - LOH
Dec. 2 - Vina informed me that she spoke with Catherine and said to email: support@sacomplete.com or message her at 210-591-8649 to set appt. 
Jan. 7 - send message to provided number 
Jan. 12 - Catherine responded that their CEO is out of office, she already message her about our info and they will just contact us if they are interested in meeting with us. </t>
  </si>
  <si>
    <t>Family Life Medical</t>
  </si>
  <si>
    <t>603 South Conroe Medical Dr., Suite 110, Conroe, TX 77304</t>
  </si>
  <si>
    <t>Phone: 936-760-9900
Fax: (936) 760-9926                                                 https://www.familylifemedical.com/
Email: flm@familymedical.com</t>
  </si>
  <si>
    <t>Dr. Kyle Scarborough MD
Thomas Seymour, DO                                             
Lindsay Smith, PA-C                                           
Suzanne Kabzinski, PA-C                                                  
Mary Ostrowski, FNP
Codi Leggett, MSN, APRN, FNP-C
 Emily Parkman</t>
  </si>
  <si>
    <t>Lunch delivered 1/7/2026</t>
  </si>
  <si>
    <t>Next Level Urgent Care</t>
  </si>
  <si>
    <t>1246 N FM 3083 Rd W. Conroe, Texas 77304</t>
  </si>
  <si>
    <t>(281) 783-8162                                                     https://www.nextlevelurgentcare.com/</t>
  </si>
  <si>
    <t>Dr. Juliet Breeze</t>
  </si>
  <si>
    <t>Nov, 6 - Talked to Kate, said that need to email: info@nextlevelurgentcare.com to contact the doctor directly</t>
  </si>
  <si>
    <t>High Tech Family Care</t>
  </si>
  <si>
    <t>920 Medical Plaza Dr #450 The Woodlands, TX 77380</t>
  </si>
  <si>
    <t>(281) 364-1700                     
Email: hightechbillal@yahoo.com
Website: https://design.htechfamily.com/about-01/</t>
  </si>
  <si>
    <t>Dr. Shazia Billal</t>
  </si>
  <si>
    <t>Nov. 6 -  LON
Nov. 7 -Lunch is set on March 27th, 1PM. DELIVERY: 12-12:30 PM. RESTRICTIONS: Dr. Khan - Eats Protein but No Dairy, Gluten, and PORK (Okay w/ Fish, Chicken, or Beef). Spoke with Krizabel via outlook, 6 staff (for confirmation). Email: kannedm@ihawmd.com &amp; PH: 346-781-8028. To be confirmed on Jan. 28</t>
  </si>
  <si>
    <t>Woodlands Internists</t>
  </si>
  <si>
    <t>2185 Technology Forest Boulevard
Suite 150
The Woodlands,   TX   77381</t>
  </si>
  <si>
    <t xml:space="preserve">Phone:  936-273-2016    
Fax: 936 273-2018    </t>
  </si>
  <si>
    <t>Dr. Nadeem Jamil</t>
  </si>
  <si>
    <t>Internal Healing &amp; Wellness</t>
  </si>
  <si>
    <t>255 Ed English Dr, Suite A, Shenandoah, TX 77385</t>
  </si>
  <si>
    <t>phone:281-688-5702
fax: 281-817-0478                                               
Email: info@ihawmd.com                                                         
Website: https://internalhealingandwellnessmd.com/</t>
  </si>
  <si>
    <t xml:space="preserve">Dr. Imran Khan                                                     
Bonnie Hinkle, BSN, ALSAP                   </t>
  </si>
  <si>
    <t>Nov. 19 - Lunch is set on Jan. 30th, 1PM. DELIVERY: 12-12:30 PM. RESTRICTIONS: Dr. Khan - Eats Protein but No Dairy, Gluten, and PORK (Okay w/ Fish, Chicken, or Beef). Spoke with Krizabel via outlook, 6 staff (for confirmation). Email: kannedm@ihawmd.com &amp; PH: 346-781-8028. To be confirmed on Jan. 28</t>
  </si>
  <si>
    <t>Davam Family Medicine</t>
  </si>
  <si>
    <t>6018 FM 1488 Rd, Magnolia, TX 77354 (16min. Drive)</t>
  </si>
  <si>
    <t xml:space="preserve">Phone: (713)-487-3090
Email: FamilyMedicine@Davam.com
Address: 6018 FM 1488 Rd Magnolia, TX 77354
Fax: 936-888-3733                                           https://davamfamilymedicine.com/home/                                          </t>
  </si>
  <si>
    <t>Dr. Payman
Dr. Phung
Janae W., FNP-C                                                       Kyla H., FNP-C
Amy B., FNP-C
Candice L., -FD/Medical Ass.</t>
  </si>
  <si>
    <t xml:space="preserve">Nov 11 - Booked Lunch
Jan. 14 - Lunch Delivered and sent TY Letter. </t>
  </si>
  <si>
    <t>Concheso &amp; Priede Family Medicine</t>
  </si>
  <si>
    <t>903 N Loop 336 West Ste C, Conroe, TX 77301</t>
  </si>
  <si>
    <t>936-703-3614
conchesopriedefm@gmail.com</t>
  </si>
  <si>
    <t>Dr. Alfredo Gonzalez Priede</t>
  </si>
  <si>
    <t>Nov. 13 - Booked Lunch
Jan. 9 - Lunch Delivered and sent TY Letter</t>
  </si>
  <si>
    <t>North Houston Family Medicine - Central Scheduling</t>
  </si>
  <si>
    <t>2400 FM 1488, Suite 400, Conroe, TX 77384</t>
  </si>
  <si>
    <t xml:space="preserve"> Tel: 832.286.1664
 Fax: 844.840.5371 </t>
  </si>
  <si>
    <t>Nikola Gajic, MD
Anju Laxman, NP</t>
  </si>
  <si>
    <t>Live Well Medical Care</t>
  </si>
  <si>
    <t>150 Pine Forest Dr, Ste 802 Building 8, Shenandoah, TX, 77384, United States</t>
  </si>
  <si>
    <t>PH: (281) 819-7869
FAX: (832) 730-4494                                                         https://www.livewelltx.com/</t>
  </si>
  <si>
    <t>Dr. Madhavi Machineni, IM</t>
  </si>
  <si>
    <t>Healing Hearts Clinic</t>
  </si>
  <si>
    <t>100 Medical Center Blvd Suite 200, Conroe, TX 77304</t>
  </si>
  <si>
    <t>936-213-6676                                                              https://www.healingheartsclinic.com/</t>
  </si>
  <si>
    <t>Adnan Afzal, MD, FACC                                                Hussein Yamani, MD, FACC                                                         Arindam Banerjee, MD, FACC                                         Preeti Singh Desai, M.D., FACC</t>
  </si>
  <si>
    <t>129 Vision Park Suite 306, Shenandoah, TX 77384</t>
  </si>
  <si>
    <t>936-937-2839</t>
  </si>
  <si>
    <t>Lunch is set on Wednesday, April 29th, 11:30PM. DELIVERY: 11:20SM. RESTRICTIONS: NONE. Spoke with Nadia, 15staff. To be confirmed on April 27th</t>
  </si>
  <si>
    <t>116 Medical Park Lane Suite A-2, Huntsville, TX 77340</t>
  </si>
  <si>
    <t>936-245-8835</t>
  </si>
  <si>
    <t>Health Living Heart and Vein</t>
  </si>
  <si>
    <t>9305 Pinecroft Dr., Suite 301, The Woodlands, Texas, 77380</t>
  </si>
  <si>
    <t>936-978-0466                                                         https://hlhv.org/</t>
  </si>
  <si>
    <t>Dr. Rajesh Ramineni 
Dr. Lowell Ketron</t>
  </si>
  <si>
    <t>603 Conroe Medical Dr Ste 140, Conroe, TX 77304</t>
  </si>
  <si>
    <t>116 Medical Park Lane, Huntsville, TX 77340</t>
  </si>
  <si>
    <t>Lake Area Cardiology Associates</t>
  </si>
  <si>
    <t>601 River Pointe Dr. Suite 105, Conroe, TX 77304</t>
  </si>
  <si>
    <t>PH: (936) 539-5577                                     
FAX: (936) 539-5550                                          EMAIL: info@lacmail.com                                                    WEBSITE: https://lakeareacardio.com/</t>
  </si>
  <si>
    <t>Dr. Arif Abdullah 
Dr. Rabab Mohsin
Dr. Adnan Siddiqui 
Dr. Fahad Javed</t>
  </si>
  <si>
    <t>3212 Robinson Creek Parkway Suite 100, Huntsville, TX 77340</t>
  </si>
  <si>
    <t>Marlow Family Care</t>
  </si>
  <si>
    <t>17350 St Lukes Way Ste 110, Conroe, TX 77384, United States</t>
  </si>
  <si>
    <t xml:space="preserve"> 936-321-4800</t>
  </si>
  <si>
    <t>Dr. Michael Marlow DO</t>
  </si>
  <si>
    <t>Jan. 28 - DECLINED! | Plan to send Information Materials</t>
  </si>
  <si>
    <t>Dr A Family Clinic</t>
  </si>
  <si>
    <t>134 Vision Park Blvd, Ste 250, Shenandoah, TX 77384</t>
  </si>
  <si>
    <t>PH: (832) 246-8935 
FAX: (832) 246-8937
https://www.zocdoc.com/practice/dr-a-family-clinic-30152</t>
  </si>
  <si>
    <t>Dr. Chinasa Anugwom, FM</t>
  </si>
  <si>
    <t xml:space="preserve">Jan. 12 - Spoke with Kenda, they prefer going to their office without lunch. We can go anyday, from 11:30 AM - 1PM (M-T) and Friday only noon. </t>
  </si>
  <si>
    <t>Advanced Internal Medicine of Woodlands</t>
  </si>
  <si>
    <t>3115 College Park Dr. Suite 112, The Woodlands, TX 773844001</t>
  </si>
  <si>
    <t xml:space="preserve">Phone: (281) 836-3627
Fax: (877) 635-7901
Email: aimedicine2017@gmail.com                                                 https://aimwoodlands.com/                                       </t>
  </si>
  <si>
    <t>Dr. Mamta Jain, IM</t>
  </si>
  <si>
    <t>Nov. 26 - Booked Lunch
Dec. 19 - Lunch Successfully Delivered.</t>
  </si>
  <si>
    <t>The Family and Aging Center of Houston</t>
  </si>
  <si>
    <t>129 vision Park Blvd Suite 105, Shenandoah , 77384 (8-11:30 AM)</t>
  </si>
  <si>
    <t>8322959829 (Apointment )
936-242-1728 (Woodlands)</t>
  </si>
  <si>
    <t>Dr. Leena Chacko, FM, Geriatrics</t>
  </si>
  <si>
    <t>17320 Red Oak Dr. Suite 260, Houston, TX 77090 (1-5PM) 20min</t>
  </si>
  <si>
    <t>2818809182 (North Houston)</t>
  </si>
  <si>
    <t>Moonat Medical Associates</t>
  </si>
  <si>
    <t>2950 FM 2920 Rd, Suite 150 - Spring, Tx 77388 (16mins)</t>
  </si>
  <si>
    <t>Ph: 281 528 0445                                                           Fax: 281 528 0490                                                    https://drmoonat.com/</t>
  </si>
  <si>
    <t>Saurabh Moonat, DO - FM</t>
  </si>
  <si>
    <t>Nov. 17 - Lunch set on Friday, Dec. 5th. 12:30PM. DELIVERY: 12:15PM. RESTRICTIONS: No Pork, 2 Vegetarian. Spoke with Julissa, 5 staff.  Email: infor@moonatmedical.com. To be confirmed on Dec. 3rd.</t>
  </si>
  <si>
    <t>Woodlands Primary Healthcare</t>
  </si>
  <si>
    <t>25511 Buddle Rd, Suite 3901, The Woodlands, TX 77380</t>
  </si>
  <si>
    <t>Phone Number: 281 466 4644
Fax: 281 419 1624                                                                           https://woodlandsprimaryhealthcare.com/                          info@woodlandsph.com</t>
  </si>
  <si>
    <t xml:space="preserve">Dr. Javier Sosa,IM                                                         
Dr. Daniel Turmero, FM                                                 
Hernan Martinez, FNP                                                          
Jaime Ochoa, APRN, FNP, ENPC                                                 
Danaisy Reyes Morales, FNP                                               
Carmine Lombardozzi, PA-C                                              
Nelsy Quinteros, FNP                                                           </t>
  </si>
  <si>
    <t>Kingwood Pulmonary, PA</t>
  </si>
  <si>
    <t>2255 East Mossy Oaks Rd. Suite 500, Spring TX, 77389 (TUESDAY)</t>
  </si>
  <si>
    <t>Office (281) 864-0322
Fax (832) 644-9032                                                          https://www.myprivia.com/kingwoodpulmonarypa</t>
  </si>
  <si>
    <t>Akinyinka Ajelabi, MD</t>
  </si>
  <si>
    <t>Fit &amp; Well, MD</t>
  </si>
  <si>
    <t>5220 FM 2920 Ste 110, Spring, TX 77388</t>
  </si>
  <si>
    <t>Email: info@fitwellmd.com
Phone: 281-729-6481
Fax: 832-234-2064                                                                 https://fitwellmd.com/</t>
  </si>
  <si>
    <t xml:space="preserve">
Afua Agyarko, MD</t>
  </si>
  <si>
    <t>Delacotera Healthcare</t>
  </si>
  <si>
    <t>129 Vision Park Blvd., Suite 200, Shenandoah TX 77384</t>
  </si>
  <si>
    <t>Phone: (281) 248-8872
Fax: (281) 248-8875
Email:   info@delacotera.healthcare                     https://www.delacotera.healthcare/</t>
  </si>
  <si>
    <t>Dr. Rodrigo Delacotera</t>
  </si>
  <si>
    <t>Magnificat Primary Care</t>
  </si>
  <si>
    <t>17833 Kuykendahl Rd #103 Spring, Texas 77379</t>
  </si>
  <si>
    <t>Magnificatprimarycare@gmail.com
832-698-2127</t>
  </si>
  <si>
    <t>Dr. Araceli Amador MD                                         
Dr. Pablo Amador, M.D
Mr. Jorge Rodriguez</t>
  </si>
  <si>
    <t>Lunch is delivered on 01/21/2026 and sent TY PCKG 01/22/26. (Only Mr. Jorge Rodriguez attended)</t>
  </si>
  <si>
    <t>Woodlands Heart &amp; Vascular Institute</t>
  </si>
  <si>
    <t>920 Medical Plaza Drive, Suite 520, The Woodlands, TX 77380</t>
  </si>
  <si>
    <t>Phone: 832-562-3974
Fax: 832-663-9378
https://www.woodlandsheartinstitute.com/</t>
  </si>
  <si>
    <t>Laura Fernandes, MD, FACC
Cardiologist &amp; Interventional Cardiologist</t>
  </si>
  <si>
    <t>Dec. 1 - Lunch set on Wednesday, March 4th. 11:30-12:PM. DELIVERY: 11AM. RESTRICTIONS: Dr. Fernandez is Vegetarian. Spoke with Aracery, 18 staff. Email: whviaracely@gmail.com. To be confirmed on Mar. 2nd.</t>
  </si>
  <si>
    <t>Digestive Specialists P.A</t>
  </si>
  <si>
    <t>111 Vision Park Boulevard, Suite 150,The Woodlands,TX 77384</t>
  </si>
  <si>
    <t>Phone:(936) 647-3559
Fax:(936) 321-0032
https://dsnhc.com/</t>
  </si>
  <si>
    <t>Gastrroenterology:
Dr. A. Tarkan Dural, FACG
Dr. Anna M. Gonzales, 
Dr. Abraham Winkelstein, FACG, FACP, MS
Dr. Edward S. Xavier</t>
  </si>
  <si>
    <r>
      <t xml:space="preserve">Dec. 10 - Spoke to Shanna and they don't accept lunches anymore | </t>
    </r>
    <r>
      <rPr>
        <sz val="10"/>
        <color rgb="FFFF0000"/>
        <rFont val="Arial Narrow"/>
      </rPr>
      <t>DECLINED</t>
    </r>
  </si>
  <si>
    <t>Heart Fertility Clinic</t>
  </si>
  <si>
    <t>111 Vision Park, Suite 110, The Woodlands, TX 77384</t>
  </si>
  <si>
    <t>(281) 843-9627
https://www.hartfertility.com/about-hart-ivf/ertug-kovanci-md</t>
  </si>
  <si>
    <t>Dr. Ertug Kovanci, M.D.
OBGYN</t>
  </si>
  <si>
    <t>Frederick Njuki, MD FACP</t>
  </si>
  <si>
    <t>286 Ed English Drive Suite B Shenandoah, TX 77385</t>
  </si>
  <si>
    <t>(281) 764-1888
https://www.mdpcp.com/</t>
  </si>
  <si>
    <t>Memorial Hermann Medical Group The Woodlands Primary Care and Endocrinology</t>
  </si>
  <si>
    <t>1890 Research Forest Dr, The Woodlands, TX 77380</t>
  </si>
  <si>
    <t>(832) 658-3600
FAX: (713) 897-7009</t>
  </si>
  <si>
    <t>Dr. Nota Hunter, FM
Dr. Altaf Karim, IM
Dr. Sofi Momin,DO, IM
Dr. Lyubov Olenina, Endocrin
Dr. Amulya Sajja, FM
Dr. Sarika Shanmukayya, IM
Dr. Annie Thomas, Endo
Mitalee Jiva, MSN, RN, FNP-C
Dr. Kathryn Bond, DO</t>
  </si>
  <si>
    <t>Memorial Hermann Medical Group Sterling Ridge</t>
  </si>
  <si>
    <t>10333 Kuykendahl Rd, Suite D, The Woodlands, TX 77382</t>
  </si>
  <si>
    <t>(713) 897-7244 
FAX: (281) 362-0461
https://memorialhermann.org/locations/mhmg-sterling-ridge</t>
  </si>
  <si>
    <t>Dr. Anthony Diaz, FM
Dr. Meghan Hunter, DO-FM
Dr. Ria Rahman, FM
Dr. Mythili Vedala, IM
Kimberly Hardy-Sampson, MSN, APRN, FNP-C</t>
  </si>
  <si>
    <t>Steelman Medical Group</t>
  </si>
  <si>
    <t>150 Pine Forest Drive, Ste. 404, Shenandoah, TX 77384</t>
  </si>
  <si>
    <t>PH: 936.266.0011 
Fax: 936.244.4421
Inquiries: info@steelmanmedicalgroup.com
Website: https://steelmanmedicalgroup.com/</t>
  </si>
  <si>
    <t>Dr. Steelman - IM
Mallory
Lisa, RN
Paige
Presley
Lottie</t>
  </si>
  <si>
    <t>Texas Heart &amp; Valve Specialists</t>
  </si>
  <si>
    <t>128 Vision Park Blvd. Suite 130, Shenandoah, TX 77384</t>
  </si>
  <si>
    <t>PH: (346)242-8344                      
Fax: (866)531-9603
texasheartvalvespecialists.org</t>
  </si>
  <si>
    <t>Dr. Mushtaque Ahmed</t>
  </si>
  <si>
    <t>Modern Heart &amp; Vascular</t>
  </si>
  <si>
    <t>3117 College Park, Suite 200, The Woodlands, TX 77384</t>
  </si>
  <si>
    <t>(832) 644-8930</t>
  </si>
  <si>
    <t>Dr. Dorothy Pei
Dr. Dveeng Parikh
Dr. Manyank Agarwal
Dr. Rajiv Agarwal
Dr. Michael Siropaides
Dr. Joshua Quionones
Dr. Morales (Dr. AFib)
Dr. William Kalchoff</t>
  </si>
  <si>
    <t>Dr. A Patient Care</t>
  </si>
  <si>
    <t>5523 Louetta Road, Spring, TX 77379 (25Mins W)</t>
  </si>
  <si>
    <t>(346) 550-8220
info@a-patientcare.com
https://a-patientcare.com/</t>
  </si>
  <si>
    <t>Dr. Muhaned Alsaedi</t>
  </si>
  <si>
    <t>Comprehensive Gastroenterology Care in Conroe</t>
  </si>
  <si>
    <t>1020 Riverwood Ct, Ste 300 Conroe TX, 77304</t>
  </si>
  <si>
    <t>936 760 1900
info@stephenkellymdgi.com
https://stephenkellymdgi.com/about-us/</t>
  </si>
  <si>
    <t xml:space="preserve"> Dr. Stephen Kelly, MD</t>
  </si>
  <si>
    <t>Gastroenterology Specialists of North Houston</t>
  </si>
  <si>
    <t>150 Pine Forest Drive Suite 106, The Woodlands, TX 77384</t>
  </si>
  <si>
    <t>Phone: 936-321-0000
Fax: 844-202-39674
https://www.drgalam.com/</t>
  </si>
  <si>
    <t>Dr. T. Gordy Alam
Allison Tate, FNP-C</t>
  </si>
  <si>
    <t>Center for Digestive Disease</t>
  </si>
  <si>
    <t xml:space="preserve">
129 Vision Park Blvd, Suite 307 Shenandoah, TX 77384</t>
  </si>
  <si>
    <t>936-321-5440
inquiry@cddgastro.net
https://www.woodlandsgastroenterology.com/</t>
  </si>
  <si>
    <t>Dr. Peter Kvapil
Dr. Shail Maheshwari
Dr. Apurv Varia
Dr. Mattew Clark
Dr. Ramu Chalasani
Dr. Avais Chatha</t>
  </si>
  <si>
    <t>Digestive &amp; Liver Disease Consultants, PA</t>
  </si>
  <si>
    <t>920 Medical Plaza Dr., Suite 550, The Woodlands TX, 77380</t>
  </si>
  <si>
    <t>Main Line &amp; Text: 281-440-0101
Scheduling: 281-453-2050
Fax Number: 855-404-4345
Email: Questions@gimed.net</t>
  </si>
  <si>
    <t>Dr. Guru N. Reddy
Dr. Hamat
Dr. Mohamed D. Mahmoud
Dr. Das
Connie Delos Reyes, AGACNP-BC</t>
  </si>
  <si>
    <t>Martin Diagnostic Clinic</t>
  </si>
  <si>
    <t>5260 Central Parkway Hangar #14 Conroe TX</t>
  </si>
  <si>
    <t>(p) 281-351-7155
(f)  281-290-9579
email: martindiagnosticclinic@hotmail.com
https://www.martindiagnosticclinic.com/</t>
  </si>
  <si>
    <t xml:space="preserve">Dr. Earl F. Martin </t>
  </si>
  <si>
    <t>Total Care 2 U</t>
  </si>
  <si>
    <t>1904 Longmire Rd, Ste 201 Conroe, TX  77304</t>
  </si>
  <si>
    <t>877-868-2528
Fax:877-926-5332
https://www.totalcare2u.com/</t>
  </si>
  <si>
    <t>Dr. NHue Ho, IM</t>
  </si>
  <si>
    <t>Heart Care of Conroe</t>
  </si>
  <si>
    <t>600 Riverpointe Dr Suite 100, Conroe, TX 77304-2867</t>
  </si>
  <si>
    <t>936-220-2909
https://www.mobleyheart.com/</t>
  </si>
  <si>
    <t>Dr. Alan Mobley</t>
  </si>
  <si>
    <t>Dec. 17 - Lunch i set on Wednesday, April 1st, 2026. 12PM. DELIVERY: 11:45AM. RESTRICTIONS: None. Spoke with Carolyna/Hallie, 5 staff. To be confirmed on March 30th.</t>
  </si>
  <si>
    <t>Houston Regional Gastroenterology</t>
  </si>
  <si>
    <t>26940 Kuykendahl Rd, Suite 104, Tomball, TX 77375</t>
  </si>
  <si>
    <t>Tel: (832) 707-5011
Email: info@hrgastro.com
Website: https://www.hrgastro.com</t>
  </si>
  <si>
    <t>Adeeb Dwairy, M.D.
Pragnesh Patel, M.D.
Amandeep Kaur, DO
Abraham Chacko, DO
Ahmed Ouni, MD
Sushovan Guha, MD
Dr. Shaadi Abughazaleh
George Nunez, Jr., MD, PA
Ranga S. Nathan, M.D.
Ryan Barrientos, M.D.
Christopher Kim, M.D.
Daniel Burkholder, M.D.
John T Dugan, III, M.D.
Morgan Womboldt, MSN</t>
  </si>
  <si>
    <t>First Primary Care – The Woodlands</t>
  </si>
  <si>
    <t>25511 Budde Rd, Suite 3703, The Woodlands, TX 77380</t>
  </si>
  <si>
    <t>Phone: (281) 549-8060</t>
  </si>
  <si>
    <t>Dr. Geetinder Goyal - IM, Pulmo 
Dr. Cassandra Wertz, IM-Obssity Med
Dr. Chi Stasio, DO
Dr. Esther Ngare, MD, MBA
Dr. Zhaleh Amini-Vaughan, MD
Justin Wolfe, DNP, FNP-BC, RN
Dr. Maryse Bakouetila, MD
Dr. Jessica Glick, DO
Dr. Karthik Mulkanoor, MD
Emily Schmitter, FNP-C
Dr. Thomas Wright, DO
Dr. Albert Mo, MD
Dr. Linh Hoang, DO
Jessica Mendez, DNP, FNP
Dr. Dorcas Omari, MD
Blair Smith, FNP-C
Dr. Thi Vo, DO
Tehemeena Dhukka, FNP-C
Peter Del Buono, FNP-C
Rachel Cano, DNP
Dr. Derek He, DO</t>
  </si>
  <si>
    <t>Advocate Direct Care</t>
  </si>
  <si>
    <t>303 Longmire Road, Suite 501, Conroe, Texas 77304
located in the Brownstone Office Condos</t>
  </si>
  <si>
    <t>936-228-8187
https://www.advocatedirectcare.com/</t>
  </si>
  <si>
    <t>Dr. Hannah Shelton, DO</t>
  </si>
  <si>
    <t>Pinewood Medical Clinic, P.A</t>
  </si>
  <si>
    <t>17191 St. Luke's Way Suite 200, Conroe, TX 77384 (Thursday Only)</t>
  </si>
  <si>
    <t>Phone: (936)321-3110
Fax: (936)321-3125
Website: http://www.pinewoodmedicaltx.com/home.html</t>
  </si>
  <si>
    <t>Dr. Eric Tay - Endocrinologist</t>
  </si>
  <si>
    <t>6318 FM 1488 Suite 100, Magnolia, TX 77354 (Mon, Tue, Wed, Fri)</t>
  </si>
  <si>
    <t xml:space="preserve">Dec. 8 - Lunch is set on Wednesday, March 25th. 11:45AM-12PM. DELIVERY: 11:45 AM. RESTRICTIONS: None. Spoke with Erin, 12staff. To be confirmed on Mar. 23rd. </t>
  </si>
  <si>
    <t>Health Self DPC</t>
  </si>
  <si>
    <t>12310 Woodcreek Dr, Suite E, Willis, TX 77318 (T-Thu)</t>
  </si>
  <si>
    <t>Phone: (936) 243-3047
Fax: (936) 251-2287
https://www.healthyselfdpc.com/</t>
  </si>
  <si>
    <t>Dr. Jamie Eller, FM</t>
  </si>
  <si>
    <t>Dec. 8 - Spoke with Samantha, relay our message to Dr. she will call us back to confirm</t>
  </si>
  <si>
    <t>Texas Regional Urology</t>
  </si>
  <si>
    <t>9303 Pinecroft Dr, Suite 320, The Woodlands, TX 77380</t>
  </si>
  <si>
    <t>Phone: ​281-290-9800
Website: http://www.texasregionalurology.com/</t>
  </si>
  <si>
    <t>Dr. William "Todd" Hammond, PA-C
Dr. Liliana Woo
Dr. Matthew Hogan
Dr. Drew A. Dylewski
Dr. Clyde L. Corey</t>
  </si>
  <si>
    <t>Modern Kidney &amp; Transplant Care</t>
  </si>
  <si>
    <t>25329 Interstate 45, Suite 129., The Woodlands, TX 77380</t>
  </si>
  <si>
    <t>Tel. No. 346-478-1222
Fax: 346-478-1222
Email: appointment@modernkidney.com
Website: https://modernkidney.com/</t>
  </si>
  <si>
    <t>Dr. Brigani Amante
Jennifer Ochoa - Practice Manager
Michelle Roberts - Patient Service Specialist
Irma Ramos - Senior Medical Assistant</t>
  </si>
  <si>
    <t>Northwest Houston Heart Center</t>
  </si>
  <si>
    <t>10020 Research Forest Drive, The Woodlands, TX 77354</t>
  </si>
  <si>
    <t>Phone: 281-351-4911
Fax: 281-351-4911
Website: https://www.houstonheartcenter.com/location/the-woodlands-tx</t>
  </si>
  <si>
    <t>Cardiologist
A. Adnan Aslam, MD, FACC, FSCAI
Roy Norman, DO
Dr. Mac Ansari, MD</t>
  </si>
  <si>
    <t xml:space="preserve">Jan. 9 -  From Robbie: Need physical visit/mail to sent materials and business cards. </t>
  </si>
  <si>
    <t>Prime Rheumatology</t>
  </si>
  <si>
    <t>17191 St Luke’s Way, Suite 220 The Woodlands, TX 77384</t>
  </si>
  <si>
    <t>e</t>
  </si>
  <si>
    <t>Dr. Gwendoline Menga D.O, MBA. -IM</t>
  </si>
  <si>
    <t>Rheumatology of the Woodlands</t>
  </si>
  <si>
    <t>9323 Pinecroft Drive Suite 200, The Woodlands, TX 77380</t>
  </si>
  <si>
    <t>Dr. Randall Johnson
Phone:+1 281-297-6476
Fax:+1 281-297-6425
Dr. Frank Parke
Phone:+1 281-297-7625
Fax:+1 281-651-4365</t>
  </si>
  <si>
    <t>Dr. Randall Johnson
Dr. Frank Parke</t>
  </si>
  <si>
    <t>Texas Gastro Consultants</t>
  </si>
  <si>
    <t>17189 I-45 South, MOB-II, Suite 265, The Woodlands Professional Building, The Woodlands, Texas 77385</t>
  </si>
  <si>
    <t>Phone: 281-351-6464
FAX: 281-351-6476
Email: office@txgastro.com
Website: https://www.txgastro.com/</t>
  </si>
  <si>
    <t>Dr. Rajeshwar Abrol - Gastroenterologist
Dr. Arvind Reddy, MPH - Gastroenterologist &amp; Hepatology
Dr. Amar Dodda - Endoscopist</t>
  </si>
  <si>
    <t>Woodlands Arthritis Clinic</t>
  </si>
  <si>
    <t>129 Vision Park Blvd, Suite 211A, Shenandoah, TX 77384</t>
  </si>
  <si>
    <t>Phone: (936) 273-3900
Fax: (936) 273-3901
Website: https://www.woodlandsarthritisclinic.com/</t>
  </si>
  <si>
    <t>Rheumatologist
Dr/ Tonya Cockrill, M.D.
Dr. Emily Hung
Dr. Enrique Medina
Dr. Holly Smith</t>
  </si>
  <si>
    <t>Windrose Family Medicine</t>
  </si>
  <si>
    <t>20423 Kuykendahl Rd Ste 100, Spring, TX 77379 (21mins)</t>
  </si>
  <si>
    <t>Phone: (281) 500-8660
Website: https://windrosefamilymedicine.com/</t>
  </si>
  <si>
    <t>Dr. Dawn Nevle - IM
Dr. Zara Siddiqui, DO - FM</t>
  </si>
  <si>
    <t>Buschemeyer Urology</t>
  </si>
  <si>
    <t>303 Longmire Rd, Suite 102, Conroe, TX 77304</t>
  </si>
  <si>
    <t>Phone: (346) 646-3500
Website: https://www.buschemeyerurology.com/</t>
  </si>
  <si>
    <t>Dr. W. Cooper Buschemeyer III</t>
  </si>
  <si>
    <t>Pinecrpft OBGYN</t>
  </si>
  <si>
    <t>2255 E Mossy Oaks Road, #430, Spring, TX 77389 (15mins)</t>
  </si>
  <si>
    <t>Phone (appointments): 281-607-1364
Phone (general inquiries): 281-609-2800
Website: https://www.bharksuwanmd.com/</t>
  </si>
  <si>
    <t>Tharian Urology</t>
  </si>
  <si>
    <t>129 Vision Park Blvd , Suite 301,Shenandoah TX 77384</t>
  </si>
  <si>
    <t>Phone: 936-647-2184
Fax: (936) 647-2201
Website: http://www.tharianurology.com/</t>
  </si>
  <si>
    <t>500 Medical Center Blvd, Ste 330, Conroe, TX 77304</t>
  </si>
  <si>
    <t>New Wave Physicians</t>
  </si>
  <si>
    <t>5220 FM 2920, Suite 110, Spring, TX 77388</t>
  </si>
  <si>
    <t>Phone: (713) 429-0881
Fax: (832) 698-9568
Website: https://newwavephysicians.com/</t>
  </si>
  <si>
    <t>Amie Sun-Wright, MD, PhD
Tam Truong, MD
Timothy Carder, MD
Sushma Gorrela, MD
Afua Agayarko, MD
Abdullah Bokhari, DO
Dr. Louis L. Jin, DAOM
Maribel Anaya, PA-C
Amanda Mcguire, MSN, APRN, FNP-BC
Maribel Montano, FNP-C</t>
  </si>
  <si>
    <t>Advanced Cardiovascular Care Center</t>
  </si>
  <si>
    <t>25510 I- 45 North, Suite 200, Spring, TX, 77386</t>
  </si>
  <si>
    <t>Phone: 281-866-7701
Fax: 281-866-7705
Website: https://advancedcardiodr.com/</t>
  </si>
  <si>
    <t>Dr. Annie T. Varughese</t>
  </si>
  <si>
    <t>Conroe Endocrinology Center</t>
  </si>
  <si>
    <t>150 Pine Forest Dr. Suite 103 Shenandoah, TX 77384</t>
  </si>
  <si>
    <t>Tel: 936-755-4238
Fax: 936-755-5979
Website:</t>
  </si>
  <si>
    <t>Dr. Kateryna Komarovskiy - Endocrinologist</t>
  </si>
  <si>
    <t>Location is good, research to see if they are pasrt of a hospital group</t>
  </si>
  <si>
    <t>Dr. Leonardo Interactive Webservices, LLC.</t>
  </si>
  <si>
    <t>508 Medical Center Blvd, Conroe, TX 77304-2808</t>
  </si>
  <si>
    <t>Phone: 936-760-4600
Fax: 936-760-4601
Website: https://jamespickettfb0.dr-leonardo.com/</t>
  </si>
  <si>
    <t>James Pickett MD - Internal Medicine</t>
  </si>
  <si>
    <t>The Woodlands Heart &amp; Vascular Center</t>
  </si>
  <si>
    <t>128 Vision Park Blvd, Ste 145, Shenandoah, TX 77384</t>
  </si>
  <si>
    <t>Phone: 281-606-5355
Website: https://www.twhvc.com/index.php</t>
  </si>
  <si>
    <t>Dr. Jasmine Khan</t>
  </si>
  <si>
    <t>Veda Health</t>
  </si>
  <si>
    <t>9006 Forest Crossing Drive Suite B The Woodlands, TX 77</t>
  </si>
  <si>
    <t>Phone: (281) 815-0374
Email: office@vedadpc.com
Website: https://www.vedadpc.com/</t>
  </si>
  <si>
    <t>Dr. Bhavna Reddy - FM
Brittany Wishard - Nursing Team</t>
  </si>
  <si>
    <t>Respiratory Center of North Houston</t>
  </si>
  <si>
    <t>150 Pine Forest Dr, Suite 602, Conroe, TX 77384</t>
  </si>
  <si>
    <t>Phone: (281) 440-8430
Website: https://www.hcahoustonhealthcare.com/physicians/profile/Dr-Amit-Annamaneni-MD</t>
  </si>
  <si>
    <t>Dr. Amit Annamaneni - Pulmonologist</t>
  </si>
  <si>
    <t>Renal Physicians of Montgomery County, P.A.</t>
  </si>
  <si>
    <t>200 River Pointe Dr., Suite 120, Conroe, TX 77304</t>
  </si>
  <si>
    <t>Phone 936-756-2555
Fax: 936-756-2534</t>
  </si>
  <si>
    <t>Dr. Darshan Tolat - IM &amp; Nephrologist
Dr. Harini Bejjanki - Nephrologist</t>
  </si>
  <si>
    <t>116A Medical Park Ln., Huntsville, TX 77340</t>
  </si>
  <si>
    <t>Phone: 936-756-2555
Fax: 936-756-2534</t>
  </si>
  <si>
    <t>17191 St. Luke's Way, Suite 260, The Woodlands, TX 77385</t>
  </si>
  <si>
    <t>Phone: 936-271-3400
Fax: 936-756-2534</t>
  </si>
  <si>
    <t>Northwoods Urology</t>
  </si>
  <si>
    <t>100 Medical Center Parkway, Suite 600Huntsville, Texas 77340</t>
  </si>
  <si>
    <t>Phone: 936.435.9200
Fax: 936.435.9262
Email: info@northwoodsurology.com
Website: https://northwoodsurology.com/</t>
  </si>
  <si>
    <t>Dr. Paul R. Kenworthy
Natasha Bing, NP
Amanda Mims, FNP</t>
  </si>
  <si>
    <t>Dec. 22 - Robbie think this is not a good leads/Not a priority to target</t>
  </si>
  <si>
    <t>135 Vision Park Blvd, Shenandoah, TX 77384</t>
  </si>
  <si>
    <t>Phone: 281.404.3000
Fax: 936.273.6911
Email: info@northwoodsurology.com
Website: https://northwoodsurology.com/</t>
  </si>
  <si>
    <t>Dr. Ronald G. Henry
Dr. John G. Giannakis
Dr. Paul R. Kenworthy
Dr. Michael F. Graham
Dr. Justin Gyorfi</t>
  </si>
  <si>
    <t>Woodlands Endoscopy Center</t>
  </si>
  <si>
    <t>111 Vision Park Boulevard, Suite 160, Woodlands, TX 77384</t>
  </si>
  <si>
    <t>Phone: (936) 245-8656
Fax: (936) 321-8913
Website: (936) 321-0032</t>
  </si>
  <si>
    <t xml:space="preserve">Same with Digestive Specialists, PA </t>
  </si>
  <si>
    <t>Gastroenterology Doagnostic Center</t>
  </si>
  <si>
    <t>421 School St., Suite 110, Tomball, TX 77375</t>
  </si>
  <si>
    <t>Phone: (281) 357 1977
Fax: 
Website: https://www.gicentertexas.com/</t>
  </si>
  <si>
    <t>Dr. Shabbir Jamali
Dr. Alu Hashmi - IM</t>
  </si>
  <si>
    <t>Hospital Docs PA</t>
  </si>
  <si>
    <t>500 Medical Center Blvd, Conroe, TX 77304</t>
  </si>
  <si>
    <t>Phone: 936-588-6300
Email: info@hospitaldocspa.com
Website: https://www.hospitaldocspa.com/</t>
  </si>
  <si>
    <t>Dr. Ali Bhuriwala - IM (Founder)
Valerie Ott - Chief Operation 
Brittney Wech - Process Improvement</t>
  </si>
  <si>
    <t>John Startz. MD</t>
  </si>
  <si>
    <t>100 Medical Center Blvd, Conroe, TX 77304</t>
  </si>
  <si>
    <t>Phone: 936-756-2888
Fax: 936-756-2892
Website: https://johnstartz.dr-leonardo.com/locations.html</t>
  </si>
  <si>
    <t>Dr. John Startz - IM</t>
  </si>
  <si>
    <t>Tom Sloan MD
Medical Counsel and Consultation</t>
  </si>
  <si>
    <t>1120 Medical Plaza Drive, Suite 100, The Woodlands, TX 77380</t>
  </si>
  <si>
    <t>Phone: 281-363-2266
Fax: 281-363-2279
Website: https://tomsloanmd.com/index.php</t>
  </si>
  <si>
    <t>Dr. Tom Sloan - IM</t>
  </si>
  <si>
    <t>Transperity Medical</t>
  </si>
  <si>
    <t>3786 FM 1488, Ste. 100, Conroe, TX, 77384 - they have loc in Kingwood, booked for woodlands</t>
  </si>
  <si>
    <t>Phone: 346 436 6973
Fax: (346) 202-0417
Email:
Website: https://transperitymedicalproviders.com/</t>
  </si>
  <si>
    <t>Dr. Carmen Perez - IM
Dr. Salvador Recio - IM
Dr. Ana Benitez - IM
Dr. ANdrew Kelley, PA</t>
  </si>
  <si>
    <t>Cardiovascular Consulatants of Houston</t>
  </si>
  <si>
    <t>134 Vision Park Suite 130 Shenandoah, TX 77384</t>
  </si>
  <si>
    <t>Email: info@cardio-consultants.com
Phone: (832) 334-775
Website: https://www.cardio-consultants.com/</t>
  </si>
  <si>
    <t>Dr. Christopher Van Nguyen
Dr. Claudine Dumandan
Dr. Michelle Lee</t>
  </si>
  <si>
    <t>26940 Kuykendahl Rd, Suite 110 The Woodlands, TX 77375</t>
  </si>
  <si>
    <t>Heart Rhythm Associates, PA</t>
  </si>
  <si>
    <t>920 Medical Plaza Dr #300, Shenandoah, TX 77380, United States</t>
  </si>
  <si>
    <t>Phone: 281-296-0788</t>
  </si>
  <si>
    <t>Dr. James L. Strickland, MD
Dr. Hina F. Siddiqui, MD</t>
  </si>
  <si>
    <t>Texas Colon &amp; Rectal Specialists</t>
  </si>
  <si>
    <t>500 Medical Center Blvd., Suite 340, Conroe, TX 77304</t>
  </si>
  <si>
    <t>Phone: (833) 437-1707
Fax: (833) 340-1330
Email: 
Website: https://www.texasoncology.com/Providers/colorectal-surgeons/kelly-gilmore</t>
  </si>
  <si>
    <t>Dr. Kelly K. Gilmore, M.D. - Colon &amp; Rectal Surgeon</t>
  </si>
  <si>
    <t xml:space="preserve">Jan. 30 - lunch is set on Wednesday, March 11th, 2026. DELIVERY: 12:15 PM. MEETING: 12:15 PM??. RESTRICTIONS: No Shrimp, Orange, and grapefruit. Spoke with Whitney, 4 staff (Email: whitney.rushing@usoncology.com). To be confirmed on Mar. 9th. </t>
  </si>
  <si>
    <t>Modern Primary Care</t>
  </si>
  <si>
    <t>Phone: (832) 966-3376
Fax:
Email:
Website: https://modernprimaryhealthcare.com/providers/#</t>
  </si>
  <si>
    <t>Dr. Stephanie Gross Pierce
Dr. Surendra Raythatha
Dr. Carnai Simpson
Lorena Jimenez, MSN, APRN, FNP-BC
Joy Odafe, MSN, APRN, FNP-BC
Anju Laxman, MSN, APRN, FNP-C</t>
  </si>
  <si>
    <t>PROVIDERS WHO REFERRED CLIENTS</t>
  </si>
  <si>
    <t>Doctor Big House \ Michael G. Casagrande MD, PA: Family &amp; Sleep Medicine</t>
  </si>
  <si>
    <t>13628 Michel Rd, Tomball, TX 77375</t>
  </si>
  <si>
    <t xml:space="preserve">(281) 357-1934                                                   f:  281- 803-5298
After hours line: 713-787-3912                   https://www.doctorbighouse.com/home.html                     </t>
  </si>
  <si>
    <t xml:space="preserve">Dr. Casagrande, Michael, IM                               Cheryl Wirth RN, FNP-BC
</t>
  </si>
  <si>
    <t>WellMed Medical Group at Memorial City</t>
  </si>
  <si>
    <t>929 Gessner Rd Ste 2450, Houston,  TX 77024</t>
  </si>
  <si>
    <t>PH: 713-464-9939                                                  FAX: 713-464-9942                                                       https://doctors.wellmedhealthcare.com/details/151138/manish-parikh-internal_medicine-pediatrics-houston</t>
  </si>
  <si>
    <t>Dr. Parikh, Manish, IM</t>
  </si>
  <si>
    <t>Wellstone Health Partners</t>
  </si>
  <si>
    <t>800 West Central Texas Expressway, Harker Heights, TX 76548</t>
  </si>
  <si>
    <t>From CMD: (254) 618-4940                                      From Web: (254) 457-3743                                                    https://wellstonepartners.org/find-a-provider/provider/1265403638/</t>
  </si>
  <si>
    <t>Dr. Peterson, Dallas, FM</t>
  </si>
  <si>
    <t>12310 Woodcreek Dr, Suite E, Willis, TX 77318</t>
  </si>
  <si>
    <t>(936) 243-3047
https://www.healthyselfdpc.com/</t>
  </si>
  <si>
    <t>North Houston Surgical Associates</t>
  </si>
  <si>
    <t>9200 Pinecroft Drive, Suite 220, The Woodlands, TX 77380</t>
  </si>
  <si>
    <t>Phone: (281) 296-7377
Fax: (281) 296-7255
Website: https://www.mossadeghsurgery.com/</t>
  </si>
  <si>
    <t>Provider:
Dr. Mahsa Mossadegh, MD, FACS
Staff: 
Jessica Siros - Front Office &amp; Billing
Amy Mickan - Front Office
Autumn Harper - Medical Assistant</t>
  </si>
  <si>
    <t>Nacogdoches Memorial Hospital</t>
  </si>
  <si>
    <t>1320 N University Dr. Nacogdoches, TX 75961</t>
  </si>
  <si>
    <t>Phone: (936) 568-9600"</t>
  </si>
  <si>
    <t>Dr. Charles Page</t>
  </si>
  <si>
    <t>2hrs 15mins</t>
  </si>
  <si>
    <t>For Lead Gen</t>
  </si>
  <si>
    <r>
      <rPr>
        <sz val="10"/>
        <color rgb="FF0563C1"/>
        <rFont val="Arial Narrow"/>
      </rPr>
      <t xml:space="preserve">Doximity: </t>
    </r>
    <r>
      <rPr>
        <u/>
        <sz val="10"/>
        <color rgb="FF0563C1"/>
        <rFont val="Arial Narrow"/>
      </rPr>
      <t>https://www.doximity.com/directory/md/location/texas/shenandoah?after=pub%2Fai-sumida-md</t>
    </r>
  </si>
  <si>
    <t>Nov. 4 - LOH</t>
  </si>
  <si>
    <t>Dr. Sudhir Sehgal</t>
  </si>
  <si>
    <t>3212 Robinson Creek Parkway, Suite 300, Huntsville, TX 77340</t>
  </si>
  <si>
    <t>Phone: 936-439-4835
Fax: 936-439-4837                                                       https://www.doximity.com/pub/sudhir-sehgal-md</t>
  </si>
  <si>
    <t>Sudhir Sehgal MD DABSM</t>
  </si>
  <si>
    <t>Full Spectrum Wound Care</t>
  </si>
  <si>
    <t>100 Medical Center Pkwy, Suite #100, Huntsville, TX 77340</t>
  </si>
  <si>
    <t>mglass@fullspectrumwound.com
+1 (936) 966-8181
Fax: (936) 571-0366                                          https://www.huntsvillefswc.com/</t>
  </si>
  <si>
    <t>Dr. Lawrence Wells, M.D.                            Cynthia O’Bryant, PCC                            Melissa Glass, L.V.N., W.C.N.-C., C.S.W.D-C.,                                                                                   Ginger Greer, M.S.N., R.N.,</t>
  </si>
  <si>
    <t>Loutta Family Medicine</t>
  </si>
  <si>
    <t>5834 Louetta Rd Suite F, Spring, TX 77379</t>
  </si>
  <si>
    <t>(832) 698-4291
FAX: (832) 698 -4297</t>
  </si>
  <si>
    <t>Dr. Stephanie Fong                                            Dr. Heidi Nashed-Guirguis                      Amy Ward Hamilton, PA-C                                                    Lindsay McQurter, PA-C                                   CONROE Loc only                                                     Dr. Samson Sheih -                                                                  Dr. Christopher Chapman</t>
  </si>
  <si>
    <t>Memorial Herman</t>
  </si>
  <si>
    <t>1125 Cypress Station Dr, Ste B4, Houston, TX 77090 (18mins)</t>
  </si>
  <si>
    <t>(281) 440-1400 |                                                    FAX: (281) 245-0633                                             https://memorialhermann.org/doctors/family-medicine-doctors/dr-rishi-hingorani-do-1063511608</t>
  </si>
  <si>
    <t>Dr. Rishi Hingorani, DO - FM</t>
  </si>
  <si>
    <t>Z-Z Primary Care And Walk-In clinics</t>
  </si>
  <si>
    <t>2940 FM-2920 Suite#150 Spring, TX 77388</t>
  </si>
  <si>
    <t xml:space="preserve">Phone: 281-801-4287                                                  Fax: 281-730-5919                                                     Email: info@a-zprimarycare.com                                               https://azprimaryclinic.com/ </t>
  </si>
  <si>
    <t>Dr. Zohra, FM</t>
  </si>
  <si>
    <t>Premier Internal Medicine Associates, PC</t>
  </si>
  <si>
    <t>420 Lowell Drive, Suite 302, Huntsville, AL 35801</t>
  </si>
  <si>
    <t>Tel. 256-265-1910
Fax. 256-265-1911
https://www.premierintmed.com/</t>
  </si>
  <si>
    <t>Dr. Zia Hassan, Medical Doctor, IM
Amy Schiffman, DNP
Lauren Gower, CRNP
Tracie Fields,BSBA, Practice Manager
Kristi Pruett
Sabrena Smith, CCMA
Megan Riddle, CCMA
Inesha Hines, RMA</t>
  </si>
  <si>
    <t>Michael E. DeBakey VA Medical Center</t>
  </si>
  <si>
    <t>690 South Loop 336 West, Suite 300, Conroe, TX 77304-3320</t>
  </si>
  <si>
    <t>Main phone: 936-522-4000Main phone
VA health connect: 833-363-1063</t>
  </si>
  <si>
    <t>Dr. Donnia L. Rebello, IM</t>
  </si>
  <si>
    <t>Huntsville Health Care Center</t>
  </si>
  <si>
    <t>2628 Milam St., Huntsville, TX 77340</t>
  </si>
  <si>
    <t>(936)-293-8062
https://huntsvillehealthcarecenter.com/team/dr-hunain-aslam/</t>
  </si>
  <si>
    <t>Dr. Hunain Aslam, IM - Medical Director
Mike Walker - Director of Nursing
Leslie Henderson - Bus. Office Manager
Estrela Patterson - Director of Social Services
Hope Miles - Payroll
Tiffany Crawford - Activities Director
Isabel Walczak - Marketing Director</t>
  </si>
  <si>
    <t>This is a nusing facility</t>
  </si>
  <si>
    <t>Samuel Cardiology</t>
  </si>
  <si>
    <t>21848 Holzwarth Road, Suite 110. Spring, TX 77388</t>
  </si>
  <si>
    <t>(281) 446-2999
http://samuelcardiology.com/</t>
  </si>
  <si>
    <t>Dr. E. John Samuel
Dr. Paulraj Samuel</t>
  </si>
  <si>
    <t>Memorial Pathology Consultants PA</t>
  </si>
  <si>
    <t>9250 pinecroft dr dept of, Shenandoah, TX</t>
  </si>
  <si>
    <t>713-897-2300</t>
  </si>
  <si>
    <t>Dr. Safa Mousa Al-jammali</t>
  </si>
  <si>
    <t>Woodlands OBGYN &amp; Associates</t>
  </si>
  <si>
    <t>17183 I-45 #610, The Woodlands, TX 77385</t>
  </si>
  <si>
    <t>Phone: 281-985-5289
Fax: 281.292.0400
Website: https://www.woodlandsobgynassociates.com/</t>
  </si>
  <si>
    <t>Dr. Raj K. Syal 
Dr. Jenna Everson
Dr. Holly Westmoreland
Dr. Kellyn Rielly</t>
  </si>
  <si>
    <t>Woodlands Obstetrucs and Gynecology PPLC</t>
  </si>
  <si>
    <t>1001 Medical Plaza Drive, Suite 280, Woodlands, TX 77380</t>
  </si>
  <si>
    <t>Office (281) 363-4445
Fax (281) 292-4419
Website: https://www.myprivia.com/woodlandsobg</t>
  </si>
  <si>
    <t>Dr. Jon Rawson, MD, PhD
Shelly Campbell, NP</t>
  </si>
  <si>
    <t>The Woodlands OB/GYN and Women's Health</t>
  </si>
  <si>
    <t>17198 St. Luke's Way, Suite 540., The Woodlands, Texas 77384</t>
  </si>
  <si>
    <t>713-442-1900
Website: https://www.kelsey-seybold.com/medical-services-and-specialties/obgyn/locations/the-woodlands?utm_source=googlemybusiness&amp;utm_medium=backlink&amp;utm_campaign=location&amp;eid=200000410&amp;cid=googlemybusiness_backlink_location_200000410</t>
  </si>
  <si>
    <t>Jennifer Breazeale, MD, FACOG
Michelle Hanes, MD, FACOG
Tiffany Tracy, MD, FACOG, MIGS
Christina Frome, MD, FACOG
Lewin Staine, MD
Brinley Williams, MD
Andrea Baker, MD
Rosylyn James, MD
Erica Chapman, MD
Meredith Stocks, MD
Michael MacKelvie, DO, FACOG
Alexa Rodrigue, PA-C
Diana Fuerte-Dominguez, MSN, APRN, WHNP-BC</t>
  </si>
  <si>
    <t>Spring Creek Urology Specialist L.L.C</t>
  </si>
  <si>
    <t>1020 Riverwood Court, Ste 330., Conroe, TX 77304</t>
  </si>
  <si>
    <t>Phone: (936) 441-1005
FAX: (888) 815-6161
Email: info@springcreekuro.com
Website: https://springcreekurology.com/</t>
  </si>
  <si>
    <t>Dr. Ajay Kwatra
Dr. Samir Shirodkar
Dr. Russell Libby
Erwin Winkel, MD
Candice Clark, MSN, APRN, FNP-C
Maria Navarro, MPAS, PA-C</t>
  </si>
  <si>
    <t>9303 Pinecroft Dr, Suite 320., The Woodlands, TX 77380</t>
  </si>
  <si>
    <t>Phone: (281) 290-9800
Website: http://www.texasregionalurology.com/</t>
  </si>
  <si>
    <t>Dr. Clyde L. Corey MD
Dr. Drew Dylewski, MD
Dr. Matthew Hogan, MD
Dr. Liliana Woo, MD
William "Todd" Hammond, PA-C</t>
  </si>
  <si>
    <t>The Women's Centre for Well Being</t>
  </si>
  <si>
    <t>1120 Medical Plaza Dr Suite 200, The Woodlands, TX 77380</t>
  </si>
  <si>
    <t>Phone: (832) 813-0979
Fax: (832) 813-0984
Website: https://drgeadsdavinci.com/</t>
  </si>
  <si>
    <t>Dr. Gregory Eads - Gynecologic Surgeon
Lisa Neuman, PA-C</t>
  </si>
  <si>
    <t>Shahzad Gastroenterology</t>
  </si>
  <si>
    <t>26103 Interstate 45, Suite 100, THE WOODLANDS, TX 77380</t>
  </si>
  <si>
    <t>Phone: 281-742-4932
Email: info@shahzadmd.com
Website: https://shahzadmd.com/gastroenterology/</t>
  </si>
  <si>
    <t>Dr. Atif Shahzad</t>
  </si>
  <si>
    <t>Texas Urology Specialists - The Woodlands</t>
  </si>
  <si>
    <t>17189 I-45, MOB II, Suite 305., The Woodlands, TX 77385</t>
  </si>
  <si>
    <t>Phonr: (281) 351-5174
Fax: (281) 351-5172
Website: https://www.texasoncology.com/locations/houston-area/woodlands-urology-specialists</t>
  </si>
  <si>
    <t>Dr. Abimbola Ayangbesan
Dr. Miguel A. Mercado
Dr. Edward J. Sanchez Jr.
Dr. Steven Sukin
Dr. Melissa A. Jacobs, MSPAS, PA-C</t>
  </si>
  <si>
    <t>Phone: 281-351-6464
FAX: 281-351-6476
Email: office@txgastro.com</t>
  </si>
  <si>
    <t>Dr. Rajeshwar Abrol</t>
  </si>
  <si>
    <t>Greater Houston Digestive Consultants</t>
  </si>
  <si>
    <t>9851 FM 1097 Rd., West Bldg. 120, Willis, TX 77318</t>
  </si>
  <si>
    <t>Phone: 281-205-1111
Fax: 281-419-2111
Website: https://greaterhoustonddc.com/
Email: info@greaterhoustonddc.com</t>
  </si>
  <si>
    <t>Dr. Serge-Alain Awasum
Sofia Chagollan, MPAS, PA-C
Dr. Krishna Sajja</t>
  </si>
  <si>
    <t>134 Vision Park Blvd., Ste 280 Shenandoah, TX 77384</t>
  </si>
  <si>
    <t>25329 Budde Road Ste 103-104 Spring, TX 77380</t>
  </si>
  <si>
    <t>Nephrology Associates, PA</t>
  </si>
  <si>
    <t>150 PINE FOREST DR STE 102 SHENANDOAH, TX 77384</t>
  </si>
  <si>
    <t>Phone: (832)813-8074
Fax: (832)813-8076
Website: https://savekidney.com/</t>
  </si>
  <si>
    <t>Dr. Shahzeb Naqvi - IM &amp; Nephrologist</t>
  </si>
  <si>
    <t>100 Medical Center Blvd Ste 200, Conroe, Tx 77304</t>
  </si>
  <si>
    <t>The Kidney Institute</t>
  </si>
  <si>
    <t>Phone: 281.866.9995
Fax: 281.866.7212
Website: https://www.kidneydocs.org/shenandoah</t>
  </si>
  <si>
    <t>Dr. Collette Akhimiona - Nephrologist
Dr. Faraz Khan - Surgeon
Dr. Christopher H. Kwoh - IM &amp; Nephrologist</t>
  </si>
  <si>
    <t>Nasser Cardiology &amp; Vein Center</t>
  </si>
  <si>
    <t>17350 St Lukes Way #350 The Woodlands,TX 77384</t>
  </si>
  <si>
    <t>Phone: 936 321 2366
Email: staff@nassercardiology.com
Website: https://nassercardiology.com/</t>
  </si>
  <si>
    <t>Dr George Alan Nasser, M.D., F.A.C.C.</t>
  </si>
  <si>
    <t>Cyfair Cardiology</t>
  </si>
  <si>
    <t>255 Ed English Dr., Ste. B, Shenandoah, TX 77385</t>
  </si>
  <si>
    <t>Phone: 281-890-4886
Website: https://www.cyfaircardio.com/</t>
  </si>
  <si>
    <t>Dr. Pratap Agusala, MD
Ashley Mcgrath APRN, FNP-C
Medical Assistant: Lindsey, Nichole , Secret, Jessicam R.K., Sheena</t>
  </si>
  <si>
    <t>The Woodlands Cardiovascular Center</t>
  </si>
  <si>
    <t>128 Vision Park Blvd Ste 130, Shenandoah, TX 77384</t>
  </si>
  <si>
    <t>Phone: (936) 900-6398
Fax: (888) 720-0826
Email: info@twcardiocenter.com
Website: https://www.twcardiocenter.com/</t>
  </si>
  <si>
    <t>Dr. Emmanuel A. Achu</t>
  </si>
  <si>
    <t>Northwoods Urology (Genesis Medical Group)</t>
  </si>
  <si>
    <t>Phone: (281) 404-3000
Fax: (936) 273-6911 [fax]
Email: info@northwoodsurology.com
Website: https://northwoodsurology.com/locations/the-woodlands-tx/</t>
  </si>
  <si>
    <t>Dr. Justin Gyorfi
Dr. Paul R. Kenworthy
Dr. Michael F. Graham
Natasha Bing, NP
Amanda Mims, FNP</t>
  </si>
  <si>
    <t>Not a priority</t>
  </si>
  <si>
    <t>Lymphedema &amp; Wound Care Consultants</t>
  </si>
  <si>
    <t>150 Pine Forest Drive #107, Shenandoah, Texas 77384</t>
  </si>
  <si>
    <t>Phone: (281) 338-2590
Fax: (281) 338-2594
Website: https://lymphedemaconsultants.com/locations/#:~:text=South%20Houston,Scheduling%20(281)%20338%2D2590</t>
  </si>
  <si>
    <t>Medical Director:
Dr. Adbul Moosa - (Family Medicine)
Dr. Michael Streitmann
Rebecca Nivers, D.P.M., CLT
LYMPHEDEMA SPECIALIST
Joey Adolf, DC, CLT
Allyson Neighbors, N.P.</t>
  </si>
  <si>
    <t>Cypress Physician Association</t>
  </si>
  <si>
    <t>2255 East Mossy Oaks, Ste 680, Spring, TX 77389 (15min)</t>
  </si>
  <si>
    <t>Phone: (281) 537-0300
Fax:
Website: https://cypresspa.com/</t>
  </si>
  <si>
    <t>Dr. Glenn Davis - IM
Dr. Kathryn F. Ziegler - IM
Dr. Jessica Brooks Anderson
Dr. Christina St. Michel - FM
Dr. Sharon McGrath - FM
Dr. Jesse Dunkle 
Jacklyn Eyre, PA-C
Melinda Guerry, PA-C
Sarah Duban, PA-C
Sarah Duban, PA-C</t>
  </si>
  <si>
    <r>
      <t xml:space="preserve">Tel: </t>
    </r>
    <r>
      <rPr>
        <u/>
        <sz val="10"/>
        <color rgb="FF1155CC"/>
        <rFont val="Arial"/>
        <charset val="1"/>
      </rPr>
      <t>936-755-4238</t>
    </r>
    <r>
      <rPr>
        <sz val="10"/>
        <color rgb="FF5E5E5E"/>
        <rFont val="Arial"/>
        <charset val="1"/>
      </rPr>
      <t xml:space="preserve">
Fax: </t>
    </r>
    <r>
      <rPr>
        <u/>
        <sz val="10"/>
        <color rgb="FF1155CC"/>
        <rFont val="Arial"/>
        <charset val="1"/>
      </rPr>
      <t>936-755-5979</t>
    </r>
    <r>
      <rPr>
        <sz val="10"/>
        <color rgb="FF5E5E5E"/>
        <rFont val="Arial"/>
        <charset val="1"/>
      </rPr>
      <t xml:space="preserve">
Webiste: </t>
    </r>
    <r>
      <rPr>
        <u/>
        <sz val="10"/>
        <color rgb="FF1155CC"/>
        <rFont val="Arial"/>
        <charset val="1"/>
      </rPr>
      <t>https://drkendo.com/</t>
    </r>
  </si>
  <si>
    <t>Dr. Kateryna Komarovskiy, MD, FACE - IM</t>
  </si>
  <si>
    <t>North Woods Endocrinology</t>
  </si>
  <si>
    <t>10333 Kuykendahl Rd, Suite B, Woodlands, TX 77382</t>
  </si>
  <si>
    <t>Phone: (281) 259-9943
Fax 281.259.9142
Website: https://www.myprivia.com/northwoodsendocrinology/providers</t>
  </si>
  <si>
    <t>Dr. Paul Piper
Dr. Mohamed Elhassan
Michelle Piper, FNP
Heather Matthews, CNP</t>
  </si>
  <si>
    <t>134 Vision Park, Suite 330, Shenandoah, TX 77384</t>
  </si>
  <si>
    <t>Gretaer Houston Diabetes&amp; Endocrinology Center</t>
  </si>
  <si>
    <t>920 Medical Plaza Dr Ste 350, The Woodlands, TX 77380</t>
  </si>
  <si>
    <t>Phone: 713-936-2966,
Fax: +281-719-8671
Website: http://www.ghendocrinology.com/</t>
  </si>
  <si>
    <t>Dr. Srinivas Panja - IM &amp; Endcrinologist
Safrin Ali PA-C
Crystal Cooper, NP</t>
  </si>
  <si>
    <t>Rheumatology Partners of Houston, LLC</t>
  </si>
  <si>
    <t>129 Vision Park Blvd., Ste. 206 Shenandoah, TX 77384</t>
  </si>
  <si>
    <t xml:space="preserve">	
Phone:(281) 315-8130
Fax: 281) 315-8131 | (281) 315-8132
Email: info@rphdocs.com</t>
  </si>
  <si>
    <t>Dr. Carmen Perez-Masuelli, MD, FACP, FACR</t>
  </si>
  <si>
    <t>North Houston Rheumatology Associates</t>
  </si>
  <si>
    <t>920 Medical Plaza Drive, Ste. 350, The Woodlands, TX 77380</t>
  </si>
  <si>
    <t>Phone: 281-319-4700
Fax: 281 719 8671
Website: https://www.nhrheumatology.com/</t>
  </si>
  <si>
    <t>Dr. Prashanth R. Palwai, MD, MACR
Dr. Rama Palwai, MD, MACR</t>
  </si>
  <si>
    <t>College Park Heart &amp; Vascular Surgery Center</t>
  </si>
  <si>
    <t>17183 I-45 South, Suites 350 &amp; 360
The Woodlands, Texas 77385</t>
  </si>
  <si>
    <t>Phone:	936-321-0080
Fax:	936-321-0081
Website: https://collegeparkheart.com/physicians/bio/julapalli-vinay-r-md/</t>
  </si>
  <si>
    <t>Dr. Julapalli, Vinay R., MD
Abdullah, Arif, MD
Afzal, Adnan, MD
Banerjee, Arindam, MD
Bellur, Sashi S., MD
Cunningham, Paul, MD
Odelowo, Mobolaji M., MD
Patel, Sanjaykumar, MD
Rizvi, Ali, MD
Siddiqui, Hina, MD
Venkataraman, Rajesh, MD</t>
  </si>
  <si>
    <t>MRZ Medical</t>
  </si>
  <si>
    <t>9180 Pinecroft Suite 250, Woodlands TX, 77380</t>
  </si>
  <si>
    <t>Phone: (713) 270-0477
Fax: (713) 270-7655
Website: https://mrzmedical.com/woodlands-location/</t>
  </si>
  <si>
    <t>Dr. Farzana N. Sahi - IM (Medical Director)
Dr. Faiyaz A. Bhojani - IM
Dr. Tufail Q. Shaikh - OM</t>
  </si>
  <si>
    <t>1/16.2026</t>
  </si>
  <si>
    <t>Rheumatology Partners of Houston</t>
  </si>
  <si>
    <t>Phone: 281-3158130
Fax: (281) 315-8131 | (281) 315-8132
Email: nursewilson@rphdocs.com | info@rphdocs.com
Website: https://rphdocs.com/</t>
  </si>
  <si>
    <t>Rheumatologist: 
Dr. Carmen Perez-Masuelli, MD, FACP, FACR
Dr. Leslie E. Wilson, MD
Dr. Kalpita Hatti</t>
  </si>
  <si>
    <t>Woodlands Elite Cardiology</t>
  </si>
  <si>
    <t>150 Pine Forest Drive, Suite 702, Shenandoah, TX 77384</t>
  </si>
  <si>
    <t>Phone: +(936) 321.1111
Fax: +(888) 396.5378
Website: https://woodlandselitecardiology.com/about_us.html</t>
  </si>
  <si>
    <t>Dr. Ali Ayoubi, MD, FACC</t>
  </si>
  <si>
    <t>Pulmonary Critical Care and Sleep Specialists</t>
  </si>
  <si>
    <t>17189 I-45 South, Suite 585 The Woodlands, TX, 77385</t>
  </si>
  <si>
    <t>Phone: 281-318-2043
Email: support@pccsspa.com
Fax: 281-360-6306
Website: https://lungandsleepdocs.com/</t>
  </si>
  <si>
    <t>Dr. Gnananandh Jayaraman - IM
Dr. Ramesh Kesavan, MD - IM
Dr. Sivatej Sarva, MD, Ph.D
Dr. Skantha Manjunath, MD</t>
  </si>
  <si>
    <t>3786 FM 1488, Ste. 100, Conroe, TX, 77384</t>
  </si>
  <si>
    <t>Phone: 346 202 0986
Fax: (346) 202-0417
Email: 
Website: https://transperitymedicalproviders.com/</t>
  </si>
  <si>
    <t>Dr. Carmen Perez - IM
Dr. Salvador Recio - IM
Dr. Ana Benitez - IM
Dr. Andrew Kelley - PA</t>
  </si>
  <si>
    <t>The Woodlands Institute for Health &amp; Wellness</t>
  </si>
  <si>
    <t>26110 Oak Ridge Dr., The Woodlands, TX 77380</t>
  </si>
  <si>
    <t>Phone: 281-298-6742
Fax: 281-419-1373
Email: info@TWIHW.com
Website: https://woodlandswellnessmd.com/</t>
  </si>
  <si>
    <t>Dr. Mila McManus DABFM
Dr. Pam O'Connor, DABFM
Sandra Caldwell, PA-C
Dyvette Warren, PA-C
Dr. Ashrita Hanmiah, DO., MBA - FM
Celeste Potter, MBA</t>
  </si>
  <si>
    <t>Heartland Physician Associates Nephrology</t>
  </si>
  <si>
    <t>150 Pine Forest Dr Suite 501, Shenandoah, TX 77384, United States</t>
  </si>
  <si>
    <t>Phone: (936) 270 8011
Fax: (936) 270 8012
Email:
Website: https://hpanephrology.com/</t>
  </si>
  <si>
    <t>Dr. Roohi Majeed Khan
Chandra Foryst, FNP</t>
  </si>
  <si>
    <t>Cypress Heart &amp; Vascular Center</t>
  </si>
  <si>
    <t>8845 Six Pines Dr, Suite 203 Shenandoah, TX 77380</t>
  </si>
  <si>
    <t>Phone: (832) 688-8400
Fax: (832) 688-8430
Email: (frontdesk@cypresshvc.com)
Website: https://cypresshvc.com/</t>
  </si>
  <si>
    <t>Dr. FADI M. ALAMEDDINE, MD, FACC, FSCAI.
Dr. BILAL SHEIKH, MD, FACC, FSCAI.
Dr. Michael J. Hermelin, MD, FACC, FASE
Dr. Ahmad Isbitan, MD, FACC
Dr. Jose F Chavez, MD, FACC
Dr. Mustafa AlQaysi, MD, FACC, RPVI
Dr. KEVIN LIN, MD, FACC
MERIN JOSEPH, MSN,APRN, FNP-C, AGACNP-BC
ANJU PAUL, MSN, APRN, FNP-C
Azeneth Hernandez, MSN, APRN, FNP-C
Jennifer Lentz, MSN, APRN, FNP-C
SHANNON ARADHYA, MSN, APRN, CCRN, FNP-C</t>
  </si>
  <si>
    <t>Neighboorhood Medical Clinic</t>
  </si>
  <si>
    <t>134 Vision Park Blvd, Suite 310, Shenandoah, TX 77384</t>
  </si>
  <si>
    <t>Phone: (936) 447-9452
Fax: (844) 842-2509
Email:
Website: https://www.myprivia.com/drpauldecker</t>
  </si>
  <si>
    <t>Dr. Paul Decker
Judi Strapp, PAC
Angela Lincoln, CNP</t>
  </si>
  <si>
    <t>Robertson Family Medicine</t>
  </si>
  <si>
    <t>8845 Six Pines Dr., Suite 200, The Woodlands, TX 77380</t>
  </si>
  <si>
    <t>Phone: 281-440-5300
Fax: 855-308-0367
Email:
Website: https://www.drchrisrobertson.com/</t>
  </si>
  <si>
    <t>Dr. Christopher Robertson
Samina Asfandiyar APRN, MSN, FNP-C
Staff:
Corina Onut
Sarah Macias
Beatrice Macias
Martha Perez</t>
  </si>
  <si>
    <t>Premier General and Colorectal Surgery</t>
  </si>
  <si>
    <t>129 Vision Park Boulevard, Suite 212, Shenandoah, TX 77384</t>
  </si>
  <si>
    <t xml:space="preserve">Phone: 832-617-9454
Fax: 866-932-1223
Email:
Website: </t>
  </si>
  <si>
    <t>Dr. Junnuk Kim - General &amp; Colorectal Surgeon</t>
  </si>
  <si>
    <t xml:space="preserve">Phone: 
Fax:
Email:
Website: </t>
  </si>
  <si>
    <t xml:space="preserve">Feb. 4 - Spoke with Paige and all their providers would be available during Tuesday and Dr. Pierce is available: tue &amp; thur. </t>
  </si>
  <si>
    <t>Comprehensive Cardiovascular Care</t>
  </si>
  <si>
    <t>3115 College Park Drive, Suite 112 | The Woodlands, TX 77384</t>
  </si>
  <si>
    <t>Phone: 936-230-5006
Fax: 281-817-5948
Email:
Website: https://woodlandscardio.com/</t>
  </si>
  <si>
    <t>Dr. Sanjaykumar Patel, MD, FACC - IM &amp; In-Cardio</t>
  </si>
  <si>
    <t>Pulse Health Care</t>
  </si>
  <si>
    <t>119 Medical Park Ln Ste D, Huntsville, TX 77340</t>
  </si>
  <si>
    <t>Phone: 936.277.1000
Fax: 936.994.9020
Email: 
Website: https://pulsehealthcaresystem.com/</t>
  </si>
  <si>
    <t>Dr. Gaurav Aggarwala - In-Cardio
Dr. Garold E. Motes, M.D. - Vascular Surgeon
Dr. Sayed Tabatabai - Nephrologist
Dr. Nnaemeka Nweke, MD
Dr. Arshad Khan, DPM, FACFAS, FACFAOM
Dr. Mamoon Barbandi
Dr. Jeffrey A Klem, M.D - In-Cardio
Dr. JoAnne Rogers - Family Medicine (Houston)
Dusty Best, MSN, APRN, FNP-C
Karen Cervantes, FNP
Erika Cook, NP
Sydney Zimla, PA
Katarzyna Lopez, NP
Cassandra
Shipman-Wadley, FNP (Houston)</t>
  </si>
  <si>
    <t xml:space="preserve">Phone: (936) 270 8011
Fax: (936) 270 8012
Email: 
Website: </t>
  </si>
  <si>
    <t>Healing Kidney</t>
  </si>
  <si>
    <t>200 S. Rivershire Dr, Suite #300, Conroe, TX 77304</t>
  </si>
  <si>
    <t>Phone: (832) 610-2822
Fax: (936) 777-8831
Email: healingkidneys@gmail.com
Website: https://www.healingkidneycare.com/</t>
  </si>
  <si>
    <t>Dr. Madhavilatha Vuppali
Dr. Sushmitha Gandra
Dr. Amol Patel, D.O
Nousheen, Nayani APRN
Mary Yanson APRN</t>
  </si>
  <si>
    <t>150 Pine Forest Dr, Suite #101, Shenandoah, TX 77384</t>
  </si>
  <si>
    <t>Renal Specialists of Houston, P.A.</t>
  </si>
  <si>
    <t>9449 Grogans Mill Road, The Woodlands, Texas, United States 77380
(Wed &amp; Tue)</t>
  </si>
  <si>
    <t>Phone: 832-963-0868
Fax: 346.907.5850
Email: feedback@renalspecialists.com
Website: https://www.renalspecialists.com/</t>
  </si>
  <si>
    <t>Sibtain Ali, MD
Camilo Barcenas, MD, FACP
Eric Faust, MD
Jennifer Finch, MD
Billy Gilbert II, MD
Laura Gillet
Taqui Khaja, MD
Salman Khan, MD
Vijay Koka, MD
Debbie Kurian, MD
Isaac Kurian
Robert Leggington Jr., MD
Kapil Mahajan, MD
Alyssa Maltby
Cameron Moore
Anand Narayanan MD
Aashish Pandya, MD
Catherine Restua
Yariana Rodriguez Ortiz, MD
Anita Harnish Shah, MD
Sarah Shearer, MD
Katherine Timmins, MD
Jesse Uyeda, MD
June Yao, MD, PhD</t>
  </si>
  <si>
    <t>400 River Pointe Dr
Conroe, Texas
United States 77304</t>
  </si>
  <si>
    <t>Phone: 832-381-2441
Fax: 833.764.4206
Email: feedback@renalspecialists.com
Website: https://www.renalspecialists.com/</t>
  </si>
  <si>
    <t>Cardiologist</t>
  </si>
  <si>
    <t>txheartpac</t>
  </si>
  <si>
    <t>100 medical center boulevard, suite 214, Conroe, Texas 77304, USA</t>
  </si>
  <si>
    <t>Phone:  (936) 514-3278
Fax: 
Email: 
Website: https://txheartpac.com/</t>
  </si>
  <si>
    <t>Dr. Atiar Rahman, MD</t>
  </si>
  <si>
    <t>KEY:</t>
  </si>
  <si>
    <t>Conroe - LIGHT BLUE</t>
  </si>
  <si>
    <t>The Woodlands - LIGHT GREEN</t>
  </si>
  <si>
    <t>Willis - LIGHT YELLOW</t>
  </si>
  <si>
    <t>Huntsville - LIGHT ORANGE</t>
  </si>
  <si>
    <t>Other - WHITE</t>
  </si>
  <si>
    <t>Spring - LIGHT PURPLE</t>
  </si>
  <si>
    <t>To Do:
1. set up lunch-in calendar - 1 per year (June/July) 
2. end of year gifts</t>
  </si>
  <si>
    <t>Done 12/12</t>
  </si>
  <si>
    <t>9851 FM 1097 Rd West, Suite 120 Willis, TX 77318
4015 I-45 North, Suite 220 Conroe, TX 77304</t>
  </si>
  <si>
    <t>Willis:
Tara Draehn
Catherine Nixon NP
Angele Wood NP
Levi Stone NP
Jason Laningham
Jennifer Laningham RN MSN</t>
  </si>
  <si>
    <t>2023: Cashews
Ask Dr. D</t>
  </si>
  <si>
    <t>179 Interstate 45 S # 300 Huntsville, TX 77340</t>
  </si>
  <si>
    <t>MD Nadjmuddin Karimjee
NPs:  Kristy Carroll
Dorothy Currier
Audrey Pika
Claudia Bernell</t>
  </si>
  <si>
    <t>Micah Bosley
Lowell Rollins
John Knight</t>
  </si>
  <si>
    <t>Megan Border NP
Sarah Johnson NP
Ginger Patel NP
Jonathan Brown PA
Lynn McInnis NP
Christopher Prihoda
Tamara Small</t>
  </si>
  <si>
    <t>Done 12/13</t>
  </si>
  <si>
    <t>Highland Woods Health: Alden Bridge</t>
  </si>
  <si>
    <t>8000 Research Forest Drive, Suite 360 The Woodlands, TX 77382</t>
  </si>
  <si>
    <t>Jonathan Walker
Clifford Yut
Thanh Ngo
Scott Kahney
Jessica Aheron
Alyssa Ellerbrock
Sydney Payne PA
Shannon Varner PA
Marina Kamyshin PA
Mattew Burnham NP
Jody Luke NP
Stephanie Davis NP</t>
  </si>
  <si>
    <t>Trey Young
Gregory McKeever
Kerri Cravey FNP</t>
  </si>
  <si>
    <t>David Michalak</t>
  </si>
  <si>
    <t>Done 12/2024</t>
  </si>
  <si>
    <t>Dr. Urmil R. Shukla, MD
Dr. Stavan P. Parmar, MD</t>
  </si>
  <si>
    <t>Doing 12/17</t>
  </si>
  <si>
    <t>Craig Boudreaux, DO
Ouida Collins, MD
Megan Woolford, MD
Elizabeth Sargent, DO
Victor Hsiao, MD
Megan Powell, MD
Glenda Read, MD
Candace Walkley, MD</t>
  </si>
  <si>
    <t>Abbas Jaffri MD
Dusty Best MSN, APRN, FNP-C</t>
  </si>
  <si>
    <t>DO THUR</t>
  </si>
  <si>
    <t>11026 HWY 242 Conroe, TX 77385
Trailer house with silver water tower “thing” out front</t>
  </si>
  <si>
    <t>Rohit Kashyap
Pratik Patel
Alejandra Pameros-Irvine
Mark Westbrook
Timothy Irvine</t>
  </si>
  <si>
    <t>Done 12/17</t>
  </si>
  <si>
    <t>Blanca Quintanilla, APRN-CNP
Gabriel Gbenga Ohiani-Jegede, FNP-BC
Shamaila Haris, MD
Townes “Tucker” Leigh, DO
Valerie Hopper, DO</t>
  </si>
  <si>
    <t>Cards made</t>
  </si>
  <si>
    <t>Affiliates of Family Medicine: Conroe</t>
  </si>
  <si>
    <t>Elena Garcia MD
Estella Rodriguez-Alonso MD
Kimberly Macnaul NP
Kimberly Schlett NP
Leticia Garcia-Cseay MD (Spring and Conroe)</t>
  </si>
  <si>
    <t>Affiliates of Family Medicine: Spring</t>
  </si>
  <si>
    <t>Jed Jularbal NP
Dora Aguilar NP
April Rambarran MD</t>
  </si>
  <si>
    <t>NEED TO DO - CAN SOMEONE DELIVER</t>
  </si>
  <si>
    <t>DR. TRANG NGUYEN
CASEY J. CHISUM NP
MICHELLE HOBBS NP
BETHANY MANARD NP (on leave 12/18/24)
LOURDES ORELLANA PA
ANUSHA SUNASARA NP</t>
  </si>
  <si>
    <t>Conroe Family Physicians</t>
  </si>
  <si>
    <t>Christopher Chapman, MD
Samson Sheih, MD
Samantha Hinds-Campa, MD
Jennifer Kemmerer, PA</t>
  </si>
  <si>
    <t>14181 US-190, Onalaska, TX 77360</t>
  </si>
  <si>
    <t>FROM WEBSITE:
Robert G. Woodrome, MD Martin Taylor, MD
John Halberdier, MD
David Price, PA
Laconia "Connie" Bacon, NP
Caleb Deike, NP
Lora Holt, NP
Yvette Guerra, NP
Lori McDowell, NP
Angela Thigpen, NP</t>
  </si>
  <si>
    <r>
      <t xml:space="preserve">(?) Chocolate
</t>
    </r>
    <r>
      <rPr>
        <sz val="10"/>
        <color rgb="FFFF0000"/>
        <rFont val="Arial"/>
      </rPr>
      <t>SEND CARD</t>
    </r>
  </si>
  <si>
    <t>Thimos G. Paschalis, MD
William A. Fridley, MD
Patricia Allamon, MD
Amy Chung, DO
Lindsay Domangue, PA-C
Jennifer Fitzgerald, NP
Vivian Mundo, MSPA
Olivia Boggan, PAC
Kelsea Kill, PA-C
Morgan Londenberg, FNP-C</t>
  </si>
  <si>
    <t>College Park Medicine</t>
  </si>
  <si>
    <t>17191 St Lukes Way #200, The Woodlands, TX 77384</t>
  </si>
  <si>
    <t>William McDonough, MD
Abigail Striblea, FNP-BC
Duyen Wolken, PA-C</t>
  </si>
  <si>
    <t>Magnolia Family Medicine: Walk-In Clinic</t>
  </si>
  <si>
    <t>6910 FM 1488, Suite 8 Magnolia, TX 77354</t>
  </si>
  <si>
    <t>Huntsville Oral Surgery</t>
  </si>
  <si>
    <t>3231 Woodward Drive Suite B Huntsville, TX 77340</t>
  </si>
  <si>
    <t>Dr. Cecil R. Shrewsberry</t>
  </si>
  <si>
    <t>Mouhamed H. El Zufari, MD
Sandeep Pinnapureddy, DO
Asmi F. Alam, MD
Anjali Reddy, FNP-C</t>
  </si>
  <si>
    <t>Kidney Specialists of North Houston: Shenandoah</t>
  </si>
  <si>
    <t>129 Vision Park Blvd #109, Shenandoah, TX 77384</t>
  </si>
  <si>
    <t>FROM WEBSITE - NEED TO CALL - 2 LOCATIONS
Dr. Frome
Dr. Basford
Dr. Naik
Dr. Zaidi</t>
  </si>
  <si>
    <t>Lakeside Gastroenterology - The Woodlands</t>
  </si>
  <si>
    <t>Nelson Tajong, MD</t>
  </si>
  <si>
    <t>S. Sinatora M.D.
J. Beatie M.D., F.A.C.P.
M. Lang-Williams M.D .</t>
  </si>
  <si>
    <t>PRACTICE NAME</t>
  </si>
  <si>
    <t>ADDRESS</t>
  </si>
  <si>
    <t>CONTACT INFO</t>
  </si>
  <si>
    <t>PROVIDERS NAME</t>
  </si>
  <si>
    <t>No. of Providers</t>
  </si>
  <si>
    <t>delivered 12/11</t>
  </si>
  <si>
    <t>Card mailed 12/16</t>
  </si>
  <si>
    <r>
      <rPr>
        <sz val="11"/>
        <color rgb="FFFF0000"/>
        <rFont val="Arial Narrow"/>
      </rPr>
      <t xml:space="preserve">MD Nadjmuddin Karimjee
N-Dr. Mohammed Karimjee
</t>
    </r>
    <r>
      <rPr>
        <sz val="11"/>
        <color rgb="FF000000"/>
        <rFont val="Arial Narrow"/>
      </rPr>
      <t xml:space="preserve">N-Dr. Sakina Broachwala 
 N- Dr. Arwa Laheri
</t>
    </r>
    <r>
      <rPr>
        <b/>
        <sz val="11"/>
        <color rgb="FF000000"/>
        <rFont val="Arial Narrow"/>
      </rPr>
      <t>PA's:</t>
    </r>
    <r>
      <rPr>
        <sz val="11"/>
        <color rgb="FF000000"/>
        <rFont val="Arial Narrow"/>
      </rPr>
      <t xml:space="preserve"> Jessica Laabs
Karen Marler
</t>
    </r>
    <r>
      <rPr>
        <b/>
        <sz val="11"/>
        <color rgb="FF000000"/>
        <rFont val="Arial Narrow"/>
      </rPr>
      <t xml:space="preserve">NPs:  </t>
    </r>
    <r>
      <rPr>
        <sz val="11"/>
        <color rgb="FF000000"/>
        <rFont val="Arial Narrow"/>
      </rPr>
      <t xml:space="preserve">Samantha Bioseh
Natalee Calais
</t>
    </r>
    <r>
      <rPr>
        <sz val="11"/>
        <color rgb="FFFF0000"/>
        <rFont val="Arial Narrow"/>
      </rPr>
      <t xml:space="preserve">Kristy Carroll
Dorothy Currier
</t>
    </r>
    <r>
      <rPr>
        <sz val="11"/>
        <color rgb="FF000000"/>
        <rFont val="Arial Narrow"/>
      </rPr>
      <t>Kim Hoang
Nizar Nayani
Huy Nguyen
Audrey Pika
Nhi Quangz
Clavis Registe
Joseph Sande
Zachary Sheppard
Worship Simbabure
Joseph Sande</t>
    </r>
  </si>
  <si>
    <t>Card mailed 12/11</t>
  </si>
  <si>
    <r>
      <rPr>
        <sz val="11"/>
        <color rgb="FF000000"/>
        <rFont val="Arial Narrow"/>
      </rPr>
      <t xml:space="preserve">Dr. Christopher D. Prihoda
Dr. Tamara L. Small
</t>
    </r>
    <r>
      <rPr>
        <strike/>
        <sz val="11"/>
        <color rgb="FF000000"/>
        <rFont val="Arial Narrow"/>
      </rPr>
      <t xml:space="preserve">Megan Border NP
</t>
    </r>
    <r>
      <rPr>
        <sz val="11"/>
        <color rgb="FF000000"/>
        <rFont val="Arial Narrow"/>
      </rPr>
      <t xml:space="preserve">Sarah Johnson NP /
Ginger Patel NP /
</t>
    </r>
    <r>
      <rPr>
        <strike/>
        <sz val="11"/>
        <color rgb="FF000000"/>
        <rFont val="Arial Narrow"/>
      </rPr>
      <t xml:space="preserve">Jonathan Brown PA
</t>
    </r>
    <r>
      <rPr>
        <sz val="11"/>
        <color rgb="FF000000"/>
        <rFont val="Arial Narrow"/>
      </rPr>
      <t>Lynn McInnis NP /</t>
    </r>
  </si>
  <si>
    <t>delivered 12/17</t>
  </si>
  <si>
    <r>
      <rPr>
        <sz val="11"/>
        <color rgb="FF000000"/>
        <rFont val="Arial Narrow"/>
      </rPr>
      <t xml:space="preserve">Dr. John E. Walker
Dr. Scott A. Kahney
Dr. Thanh D. Ngo
Dr. Clifford W. Yut
Dr. Jessica A. Aheron
Dr. </t>
    </r>
    <r>
      <rPr>
        <b/>
        <sz val="11"/>
        <color rgb="FF000000"/>
        <rFont val="Arial Narrow"/>
      </rPr>
      <t xml:space="preserve"> </t>
    </r>
    <r>
      <rPr>
        <sz val="11"/>
        <color rgb="FF000000"/>
        <rFont val="Arial Narrow"/>
      </rPr>
      <t>Alyssa Ellerbrock
Matthew Burnham, APRN, FNP-C
Dr. Meredith B. Young, DO
Stephanie D. Davis, APRN, FNP-C
Shannon Varner, PA-C
Marina Kamyshin, PA-C
Sydney Payne, PA-C
David Blackshear, APRN, FNP-C</t>
    </r>
  </si>
  <si>
    <t>delivered 12/19</t>
  </si>
  <si>
    <t>(936) 500-9500                                                        Fax Number: 855 - 308 - 0364
https://www.genesishuntsville.com</t>
  </si>
  <si>
    <t>Trey Young
Gregory McKeever
Kerri Cravey FNP                                                  Landon Garnett, FNP</t>
  </si>
  <si>
    <t>delivered 12/22</t>
  </si>
  <si>
    <r>
      <rPr>
        <strike/>
        <sz val="11"/>
        <color rgb="FF000000"/>
        <rFont val="Arial Narrow"/>
      </rPr>
      <t>(936) 525-3600</t>
    </r>
    <r>
      <rPr>
        <sz val="11"/>
        <color rgb="FF000000"/>
        <rFont val="Arial Narrow"/>
      </rPr>
      <t xml:space="preserve"> | 936-228-3883
https://www.shsuphysicians.com/</t>
    </r>
  </si>
  <si>
    <r>
      <rPr>
        <sz val="11"/>
        <color rgb="FFFF0000"/>
        <rFont val="Arial Narrow"/>
      </rPr>
      <t xml:space="preserve">FM: Craig Boudreaux, DO
Ouida Collins, MD
Megan Woolford, MD
</t>
    </r>
    <r>
      <rPr>
        <sz val="11"/>
        <color rgb="FF000000"/>
        <rFont val="Arial Narrow"/>
      </rPr>
      <t xml:space="preserve">Elizabeth Sargent, DO
</t>
    </r>
    <r>
      <rPr>
        <sz val="11"/>
        <color rgb="FFFF0000"/>
        <rFont val="Arial Narrow"/>
      </rPr>
      <t xml:space="preserve">IM: Victor Hsiao, MD
Megan Powell, MD
Glenda Read, MD
Candace Walkley, MD
</t>
    </r>
    <r>
      <rPr>
        <sz val="11"/>
        <color rgb="FF000000"/>
        <rFont val="Arial Narrow"/>
      </rPr>
      <t xml:space="preserve">
Others: Lesley Gardiner, MD
Natasha Shah, MD
Peter Curka, DO
Simeon Nittala, DO
Dennis C. Rau, Jr., DO
Karen Nelson, PhD</t>
    </r>
  </si>
  <si>
    <t xml:space="preserve">Dr. Abbas Jafri, M.D., F.A.C.P
ALI RAZA, MD  
LAUREN REYES MSN, APRN, AGNP-C
DUSTY BEST MSN, APRN, FNP-C 
 NAJLA GREEN MSN, APRN, FNP-C
MEGAN COWLES MSN, APRN, FNP-C
</t>
  </si>
  <si>
    <r>
      <rPr>
        <sz val="11"/>
        <color rgb="FFFF0000"/>
        <rFont val="Arial Narrow"/>
      </rPr>
      <t xml:space="preserve">Dr. Rohit Kashyap
Dr. Pratik Patel
Dr. Alejandra Pameros-Irvine
Dr. Mark Westbrook
Dr. Timothy Irvine
</t>
    </r>
    <r>
      <rPr>
        <sz val="11"/>
        <color rgb="FF000000"/>
        <rFont val="Arial Narrow"/>
      </rPr>
      <t>Dr. Anna Lavrova
Lauren Thomson, PA-C
Lady Box, NP
Colleen Manning, NP
Tanya Casagrande, PA
Shannon Blackburn, NP</t>
    </r>
  </si>
  <si>
    <t>card mailed 12/16</t>
  </si>
  <si>
    <t>Dr. McGrew still on military leave and  Dr. Allamon no longer there</t>
  </si>
  <si>
    <t>2 LOCATIONS                                                                                                              (1) 690 South Loop 336 West, Suite 215, Conroe, TX 77304                                                          (2) 18354 Interstate 45 Shenandoah, TX 77385</t>
  </si>
  <si>
    <t>(936) 828-3962                                             Website: https://drnelsontajong.com/</t>
  </si>
  <si>
    <t>Kristen Alonzo, DO
Alyssa Molina, MD</t>
  </si>
  <si>
    <t>card mailed 12/15</t>
  </si>
  <si>
    <t>card mailed 12/11</t>
  </si>
  <si>
    <r>
      <rPr>
        <sz val="11"/>
        <color rgb="FFFF0000"/>
        <rFont val="Arial Narrow"/>
      </rPr>
      <t>Woodlands Diagnostic clincis</t>
    </r>
    <r>
      <rPr>
        <sz val="11"/>
        <color rgb="FF000000"/>
        <rFont val="Arial Narrow"/>
      </rPr>
      <t xml:space="preserve"> </t>
    </r>
  </si>
  <si>
    <t>card mailed 12/19</t>
  </si>
  <si>
    <t>Phone: 936-760-9900
Fax: (936) 760-9926                                                 https://www.familylifemedical.com/</t>
  </si>
  <si>
    <t>Dr. Kyle Scarborough MD
Thomas Seymour, DO                                             Lindsay Smith, PA-C                                           Suzanne Kabzinski, PA-C                                                  Mary Ostrowski, FNP
Codi Leggett, MSN, APRN, FNP-C
 Emily Parkman</t>
  </si>
  <si>
    <t>(281) 364-1700                     hightechbillal@yahoo.com</t>
  </si>
  <si>
    <t>Card mailed 12/19</t>
  </si>
  <si>
    <t>Dr. Arabzadeh Payman
Dr. Vu A. Phung
Janae Walsh., FNP-C                                                       Kyla Howrish., FNP-C
Amy Brooks., FNP-C
Candice L., -FD/Medical Ass.
Dionne Massiah. FNP-C</t>
  </si>
  <si>
    <t>Sam Houston Cancer Center</t>
  </si>
  <si>
    <t>112 Medical Park Lane, Huntsville Tx 77340</t>
  </si>
  <si>
    <t>Dr. Kirk Kanady</t>
  </si>
  <si>
    <t>TOTAL NUMBER:</t>
  </si>
  <si>
    <t>Groveton Family Medicine</t>
  </si>
  <si>
    <t>180 North Magee Ave, Groveton Tx 75845</t>
  </si>
  <si>
    <t>936-642-0841
 https://grovetonfamilymedicalclinic.com</t>
  </si>
  <si>
    <t xml:space="preserve">Dr. Cochran 
Keith Jones, PA-C
Lisa Proctor, FNP                </t>
  </si>
  <si>
    <t>Card mailed 12/15</t>
  </si>
  <si>
    <t>227 State Highway 75N Suite 130, Huntsville Tx 77340</t>
  </si>
  <si>
    <t>936-521-8446
https://www.lonestarfamily.org</t>
  </si>
  <si>
    <t xml:space="preserve">Dr. Lawrence Ede
Dr. Australia Clark
</t>
  </si>
  <si>
    <t>Huntsville Memoiral Hospital</t>
  </si>
  <si>
    <t>110 Memorial Hospital Drive, Huntsville Tx 77340</t>
  </si>
  <si>
    <t>936-291-3411 pathology dept</t>
  </si>
  <si>
    <t>Dr. Payne</t>
  </si>
  <si>
    <t>Dr.Sudhir Sehgal</t>
  </si>
  <si>
    <t>3212 Robinson Creek Suite 300, Huntsville Tx 77340</t>
  </si>
  <si>
    <t>936-439-4835</t>
  </si>
  <si>
    <t>Magnolia Family Medicine</t>
  </si>
  <si>
    <t>6912 Fm 1488 Suite A, Magnolia TX 77354</t>
  </si>
  <si>
    <t>281-356-1945 
https://www.mydocmd.com/</t>
  </si>
  <si>
    <t>Dr. Allison Walworth
Maria Deost NP
Amanda Freeman NP
Dr. Syed Kazmi
Joanna Vasquez NP
Dr. Amitkumar Patel
Caroline Sizemore PA
Dr. Feras Elhajj
Codie Borsboom NP
Dr. Christian Dyhianto</t>
  </si>
  <si>
    <t>North Lake Pain Consultants</t>
  </si>
  <si>
    <t>133 Medical Park Lane, Huntsville Tx 77340</t>
  </si>
  <si>
    <t>936-295-2641</t>
  </si>
  <si>
    <t>Dr. Stephen Sims
Dr. Anisa Gopalani
Dr. John Walker</t>
  </si>
  <si>
    <t>card mailed 12/18</t>
  </si>
  <si>
    <t>Huntsville Premier Cancer Center</t>
  </si>
  <si>
    <t>643A I-45, Huntsville Tx 77340</t>
  </si>
  <si>
    <t>Dr. Jonathan Cheng</t>
  </si>
  <si>
    <t>Kidney Center of Walker County</t>
  </si>
  <si>
    <t>3212 Robinson Creek Suite 200, Huntsville TX 77340</t>
  </si>
  <si>
    <t>936-294-0971</t>
  </si>
  <si>
    <t>Dr. Dave Khurana</t>
  </si>
  <si>
    <t>3212 Robinson Creek Pkwy Suite 100, Huntsville Tx 77340</t>
  </si>
  <si>
    <t>936-539-5577
https://lakeareacardio.com</t>
  </si>
  <si>
    <t>Dr.  Arif Abdullah
Dr. Rabab Mohsin
Dr. Adnan Siddiqui
Dr. Fahad Javed</t>
  </si>
  <si>
    <t>Pulse Healthcare</t>
  </si>
  <si>
    <t>119 Medical Park Lane Suite D, Huntsville Tx 77340</t>
  </si>
  <si>
    <t>Pulse Healthcare System - Leader in Multi-Specialty Medicine</t>
  </si>
  <si>
    <t>Dr. Guarav Aggarwala</t>
  </si>
  <si>
    <t>Dr. Anil Warrier</t>
  </si>
  <si>
    <t>116 Medical Park Lane, Huntsville Tx 77340</t>
  </si>
  <si>
    <t>Card mailed 12/18</t>
  </si>
  <si>
    <t>25510 I-45 North Suite 200, Spring Tx 77386</t>
  </si>
  <si>
    <t xml:space="preserve">ACCC </t>
  </si>
  <si>
    <t>Dr. Annie Varughese</t>
  </si>
  <si>
    <t>Card mailed</t>
  </si>
  <si>
    <t>Advanced Rheumatology of Houston</t>
  </si>
  <si>
    <t>10857 Kuykendahal Rd Suite 120, The Woodlands Tx 77382</t>
  </si>
  <si>
    <t xml:space="preserve">281-766-7886
https://advancedrheum.com/
</t>
  </si>
  <si>
    <t>Dr. Tamar Brionez</t>
  </si>
  <si>
    <t>COURTESY CALL MONITORING</t>
  </si>
  <si>
    <t>PROVIDER NAME</t>
  </si>
  <si>
    <t>CONTACT INFORMATION</t>
  </si>
  <si>
    <t>PROVIDER</t>
  </si>
  <si>
    <t>FOLLOW UP</t>
  </si>
  <si>
    <t>130 Medical Center Parkway Ste. 6, Huntsville, TX 77340</t>
  </si>
  <si>
    <t>(936) 500-9500                                                        Fax Number: 855 - 308 - 0364</t>
  </si>
  <si>
    <t>Landon Garnett, FNP</t>
  </si>
  <si>
    <t>October 24, 2025 - LVM                                            October 27, 2025 - Spoke with the Medical Assistant and told the progress note were received on Oct. 13th &amp; 14th.</t>
  </si>
  <si>
    <t>6018 FM 1488 Rd Magnolia, TX 77354</t>
  </si>
  <si>
    <t>713-487-3090
Fax: 936-888-3733</t>
  </si>
  <si>
    <t>Amy Brooks. FNP</t>
  </si>
  <si>
    <t>Nov. 11 - Talked to Carla and said that they didn't received the progress notes | sent the progress notes</t>
  </si>
  <si>
    <t>Memorial Hermann Medical Plaza 4 9180 Pinecroft Suite #390 The Woodlands, TX</t>
  </si>
  <si>
    <t>Phone: 281 - 939 - 5655
https://www.htxsportsmed.com/</t>
  </si>
  <si>
    <t>Dec. 2 - Received Progress Notes</t>
  </si>
  <si>
    <t>Cookie Visit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</si>
</sst>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409]d\-mmm\-yy;@"/>
  </numFmts>
  <fonts count="41">
    <font>
      <sz val="11"/>
      <color theme="1"/>
      <name val="Calibri"/>
      <family val="2"/>
      <scheme val="minor"/>
    </font>
    <font>
      <b/>
      <sz val="14"/>
      <color theme="1"/>
      <name val="Calibri"/>
      <family val="2"/>
      <scheme val="minor"/>
    </font>
    <font>
      <u/>
      <sz val="11"/>
      <color theme="10"/>
      <name val="Calibri"/>
      <family val="2"/>
      <scheme val="minor"/>
    </font>
    <font>
      <b/>
      <sz val="12"/>
      <color theme="1"/>
      <name val="Calibri"/>
      <family val="2"/>
      <scheme val="minor"/>
    </font>
    <font>
      <sz val="11"/>
      <color theme="1"/>
      <name val="Arial Narrow"/>
    </font>
    <font>
      <sz val="11"/>
      <color rgb="FFFF0000"/>
      <name val="Arial Narrow"/>
    </font>
    <font>
      <sz val="11"/>
      <color rgb="FF000000"/>
      <name val="Arial Narrow"/>
    </font>
    <font>
      <b/>
      <sz val="48"/>
      <color rgb="FF000000"/>
      <name val="Arial Narrow"/>
    </font>
    <font>
      <b/>
      <sz val="48"/>
      <color theme="1"/>
      <name val="Arial Narrow"/>
    </font>
    <font>
      <b/>
      <sz val="11"/>
      <color theme="0"/>
      <name val="Arial Narrow"/>
    </font>
    <font>
      <strike/>
      <sz val="11"/>
      <color rgb="FF000000"/>
      <name val="Arial Narrow"/>
    </font>
    <font>
      <b/>
      <sz val="11"/>
      <color theme="1"/>
      <name val="Arial Narrow"/>
    </font>
    <font>
      <b/>
      <sz val="11"/>
      <color rgb="FF000000"/>
      <name val="Arial Narrow"/>
    </font>
    <font>
      <sz val="10"/>
      <color theme="1"/>
      <name val="Arial Narrow"/>
      <charset val="1"/>
    </font>
    <font>
      <sz val="10"/>
      <color rgb="FFB10202"/>
      <name val="Arial Narrow"/>
      <charset val="1"/>
    </font>
    <font>
      <sz val="10"/>
      <color theme="1"/>
      <name val="Arial Narrow"/>
    </font>
    <font>
      <sz val="10"/>
      <color theme="1"/>
      <name val="Arial"/>
      <charset val="1"/>
    </font>
    <font>
      <strike/>
      <sz val="10"/>
      <color theme="1"/>
      <name val="Arial Narrow"/>
      <charset val="1"/>
    </font>
    <font>
      <b/>
      <sz val="10"/>
      <color theme="1"/>
      <name val="Arial"/>
    </font>
    <font>
      <sz val="10"/>
      <color theme="1"/>
      <name val="Arial"/>
    </font>
    <font>
      <sz val="10"/>
      <color rgb="FF000000"/>
      <name val="Arial"/>
    </font>
    <font>
      <sz val="10"/>
      <color rgb="FFFF0000"/>
      <name val="Arial"/>
    </font>
    <font>
      <sz val="10"/>
      <color rgb="FFFF0000"/>
      <name val="Arial Narrow"/>
    </font>
    <font>
      <sz val="10"/>
      <color rgb="FF000000"/>
      <name val="Arial Narrow"/>
    </font>
    <font>
      <strike/>
      <sz val="10"/>
      <color rgb="FF000000"/>
      <name val="Arial Narrow"/>
    </font>
    <font>
      <sz val="10"/>
      <color rgb="FFC00000"/>
      <name val="Arial Narrow"/>
    </font>
    <font>
      <sz val="10"/>
      <color theme="5"/>
      <name val="Arial Narrow"/>
    </font>
    <font>
      <u/>
      <sz val="10"/>
      <color theme="10"/>
      <name val="Arial Narrow"/>
    </font>
    <font>
      <strike/>
      <sz val="10"/>
      <color theme="1"/>
      <name val="Arial Narrow"/>
    </font>
    <font>
      <u/>
      <sz val="10"/>
      <color rgb="FF0563C1"/>
      <name val="Arial Narrow"/>
    </font>
    <font>
      <sz val="10"/>
      <color rgb="FF0563C1"/>
      <name val="Arial Narrow"/>
    </font>
    <font>
      <sz val="10"/>
      <color theme="9"/>
      <name val="Arial Narrow"/>
    </font>
    <font>
      <sz val="10"/>
      <color rgb="FF1D1E1F"/>
      <name val="Arial Narrow"/>
    </font>
    <font>
      <sz val="10"/>
      <color rgb="FF4472C4"/>
      <name val="Arial Narrow"/>
    </font>
    <font>
      <sz val="10"/>
      <color rgb="FF333333"/>
      <name val="Arial Narrow"/>
    </font>
    <font>
      <strike/>
      <u/>
      <sz val="10"/>
      <color theme="10"/>
      <name val="Arial Narrow"/>
    </font>
    <font>
      <u/>
      <sz val="10"/>
      <color theme="10"/>
      <name val="Calibri"/>
      <family val="2"/>
      <scheme val="minor"/>
    </font>
    <font>
      <u/>
      <sz val="10"/>
      <color theme="10"/>
      <name val="Calibri"/>
      <family val="2"/>
      <charset val="1"/>
      <scheme val="minor"/>
    </font>
    <font>
      <sz val="10"/>
      <color rgb="FF5E5E5E"/>
      <name val="Arial"/>
      <charset val="1"/>
    </font>
    <font>
      <u/>
      <sz val="10"/>
      <color rgb="FF1155CC"/>
      <name val="Arial"/>
      <charset val="1"/>
    </font>
    <font>
      <b/>
      <sz val="26"/>
      <color theme="1"/>
      <name val="Arial"/>
    </font>
  </fonts>
  <fills count="18">
    <fill>
      <patternFill patternType="none"/>
    </fill>
    <fill>
      <patternFill patternType="gray125"/>
    </fill>
    <fill>
      <patternFill patternType="solid">
        <fgColor theme="5"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CCCCFF"/>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E3A8A8"/>
        <bgColor indexed="64"/>
      </patternFill>
    </fill>
    <fill>
      <patternFill patternType="solid">
        <fgColor rgb="FFFFFFFF"/>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diagonal/>
    </border>
    <border>
      <left style="thin">
        <color rgb="FFCCCCCC"/>
      </left>
      <right style="thin">
        <color rgb="FF000000"/>
      </right>
      <top/>
      <bottom style="thin">
        <color rgb="FF000000"/>
      </bottom>
      <diagonal/>
    </border>
    <border>
      <left style="thin">
        <color rgb="FFCCCCCC"/>
      </left>
      <right style="thin">
        <color rgb="FFCCCCCC"/>
      </right>
      <top style="thin">
        <color rgb="FFCCCCCC"/>
      </top>
      <bottom style="thin">
        <color rgb="FF000000"/>
      </bottom>
      <diagonal/>
    </border>
    <border>
      <left/>
      <right style="thin">
        <color rgb="FF000000"/>
      </right>
      <top style="thin">
        <color rgb="FF000000"/>
      </top>
      <bottom style="thin">
        <color rgb="FF000000"/>
      </bottom>
      <diagonal/>
    </border>
    <border>
      <left/>
      <right style="thin">
        <color rgb="FFCCCCCC"/>
      </right>
      <top style="thin">
        <color rgb="FF000000"/>
      </top>
      <bottom style="thin">
        <color rgb="FFCCCCCC"/>
      </bottom>
      <diagonal/>
    </border>
    <border>
      <left/>
      <right style="thin">
        <color rgb="FFCCCCCC"/>
      </right>
      <top style="thin">
        <color rgb="FFCCCCCC"/>
      </top>
      <bottom style="thin">
        <color rgb="FFCCCCCC"/>
      </bottom>
      <diagonal/>
    </border>
    <border>
      <left/>
      <right style="thin">
        <color rgb="FFCCCCCC"/>
      </right>
      <top style="thin">
        <color rgb="FFCCCCCC"/>
      </top>
      <bottom style="thin">
        <color rgb="FF000000"/>
      </bottom>
      <diagonal/>
    </border>
  </borders>
  <cellStyleXfs count="2">
    <xf numFmtId="0" fontId="0" fillId="0" borderId="0"/>
    <xf numFmtId="0" fontId="2" fillId="0" borderId="0" applyNumberFormat="0" applyFill="0" applyBorder="0" applyAlignment="0" applyProtection="0"/>
  </cellStyleXfs>
  <cellXfs count="296">
    <xf numFmtId="0" fontId="0" fillId="0" borderId="0" xfId="0"/>
    <xf numFmtId="0" fontId="0" fillId="2" borderId="1" xfId="0" applyFill="1" applyBorder="1" applyAlignment="1">
      <alignment horizontal="left" vertical="center" wrapText="1"/>
    </xf>
    <xf numFmtId="0" fontId="0" fillId="4" borderId="1" xfId="0" applyFill="1" applyBorder="1" applyAlignment="1">
      <alignment horizontal="left" vertical="center" wrapText="1"/>
    </xf>
    <xf numFmtId="0" fontId="0" fillId="0" borderId="1" xfId="0" applyBorder="1" applyAlignment="1">
      <alignment horizontal="left" vertical="center" wrapText="1"/>
    </xf>
    <xf numFmtId="0" fontId="0" fillId="6" borderId="1" xfId="0" applyFill="1" applyBorder="1" applyAlignment="1">
      <alignment horizontal="left" vertical="center" wrapText="1"/>
    </xf>
    <xf numFmtId="0" fontId="0" fillId="5" borderId="1" xfId="0" applyFill="1" applyBorder="1" applyAlignment="1">
      <alignment horizontal="left" vertical="center" wrapText="1"/>
    </xf>
    <xf numFmtId="0" fontId="0" fillId="7" borderId="1" xfId="0" applyFill="1" applyBorder="1" applyAlignment="1">
      <alignment horizontal="left" vertical="center" wrapText="1"/>
    </xf>
    <xf numFmtId="0" fontId="3" fillId="0" borderId="1" xfId="0" applyFont="1" applyBorder="1" applyAlignment="1">
      <alignment horizontal="left" vertical="center" wrapText="1"/>
    </xf>
    <xf numFmtId="0" fontId="1" fillId="0" borderId="1" xfId="0" applyFont="1" applyBorder="1" applyAlignment="1">
      <alignment horizontal="center" vertical="center" wrapText="1"/>
    </xf>
    <xf numFmtId="0" fontId="0" fillId="3" borderId="1" xfId="0" applyFill="1" applyBorder="1" applyAlignment="1">
      <alignment horizontal="left" vertical="center" wrapText="1"/>
    </xf>
    <xf numFmtId="0" fontId="0" fillId="8" borderId="1" xfId="0" applyFill="1" applyBorder="1" applyAlignment="1">
      <alignment horizontal="left" vertical="center" wrapText="1"/>
    </xf>
    <xf numFmtId="0" fontId="0" fillId="8" borderId="0" xfId="0" applyFill="1"/>
    <xf numFmtId="0" fontId="0" fillId="0" borderId="1" xfId="0" applyBorder="1" applyAlignment="1">
      <alignment horizontal="center" vertical="center" wrapText="1"/>
    </xf>
    <xf numFmtId="0" fontId="0" fillId="2" borderId="0" xfId="0" applyFill="1"/>
    <xf numFmtId="0" fontId="4" fillId="0" borderId="0" xfId="0" applyFont="1"/>
    <xf numFmtId="0" fontId="9" fillId="14" borderId="4" xfId="0" applyFont="1" applyFill="1" applyBorder="1" applyAlignment="1">
      <alignment horizontal="center" vertical="center"/>
    </xf>
    <xf numFmtId="0" fontId="9" fillId="14" borderId="4" xfId="0" applyFont="1" applyFill="1" applyBorder="1" applyAlignment="1">
      <alignment horizontal="center"/>
    </xf>
    <xf numFmtId="0" fontId="11" fillId="0" borderId="0" xfId="0" applyFont="1" applyAlignment="1">
      <alignment horizontal="center"/>
    </xf>
    <xf numFmtId="16" fontId="13" fillId="0" borderId="0" xfId="0" applyNumberFormat="1" applyFont="1" applyAlignment="1">
      <alignment wrapText="1" readingOrder="1"/>
    </xf>
    <xf numFmtId="0" fontId="13" fillId="12" borderId="0" xfId="0" applyFont="1" applyFill="1" applyAlignment="1">
      <alignment wrapText="1" readingOrder="1"/>
    </xf>
    <xf numFmtId="0" fontId="13" fillId="0" borderId="4" xfId="0" applyFont="1" applyBorder="1" applyAlignment="1">
      <alignment horizontal="center" vertical="center" wrapText="1" readingOrder="1"/>
    </xf>
    <xf numFmtId="0" fontId="13" fillId="0" borderId="4" xfId="0" applyFont="1" applyBorder="1" applyAlignment="1">
      <alignment horizontal="center" vertical="center" readingOrder="1"/>
    </xf>
    <xf numFmtId="0" fontId="13" fillId="0" borderId="4" xfId="0" applyFont="1" applyBorder="1" applyAlignment="1">
      <alignment horizontal="left" vertical="center" wrapText="1" readingOrder="1"/>
    </xf>
    <xf numFmtId="0" fontId="14" fillId="0" borderId="4" xfId="0" applyFont="1" applyBorder="1" applyAlignment="1">
      <alignment wrapText="1" readingOrder="1"/>
    </xf>
    <xf numFmtId="0" fontId="4" fillId="9" borderId="6" xfId="0" applyFont="1" applyFill="1" applyBorder="1" applyAlignment="1">
      <alignment horizontal="center" vertical="center" wrapText="1"/>
    </xf>
    <xf numFmtId="0" fontId="4" fillId="9" borderId="6" xfId="0" applyFont="1" applyFill="1" applyBorder="1" applyAlignment="1">
      <alignment horizontal="left" vertical="center" wrapText="1"/>
    </xf>
    <xf numFmtId="0" fontId="4" fillId="0" borderId="6" xfId="0" applyFont="1" applyBorder="1" applyAlignment="1">
      <alignment horizontal="center" vertical="center"/>
    </xf>
    <xf numFmtId="0" fontId="4" fillId="0" borderId="6" xfId="0" applyFont="1" applyBorder="1" applyAlignment="1">
      <alignment horizontal="left" vertical="center" wrapText="1"/>
    </xf>
    <xf numFmtId="15" fontId="4" fillId="0" borderId="6" xfId="0" applyNumberFormat="1" applyFont="1" applyBorder="1" applyAlignment="1">
      <alignment horizontal="center" vertical="center"/>
    </xf>
    <xf numFmtId="0" fontId="11" fillId="9" borderId="1" xfId="0" applyFont="1" applyFill="1" applyBorder="1" applyAlignment="1">
      <alignment horizontal="left" vertical="center" wrapText="1"/>
    </xf>
    <xf numFmtId="0" fontId="11" fillId="9" borderId="1"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4" fillId="0" borderId="4" xfId="0" applyFont="1" applyBorder="1" applyAlignment="1">
      <alignment horizontal="center" vertical="center"/>
    </xf>
    <xf numFmtId="0" fontId="11" fillId="9" borderId="4" xfId="0" applyFont="1" applyFill="1" applyBorder="1" applyAlignment="1">
      <alignment horizontal="center" vertical="center"/>
    </xf>
    <xf numFmtId="0" fontId="4" fillId="0" borderId="0" xfId="0" applyFont="1" applyAlignment="1">
      <alignment horizontal="center" vertical="center"/>
    </xf>
    <xf numFmtId="0" fontId="4" fillId="0" borderId="11" xfId="0" applyFont="1" applyBorder="1" applyAlignment="1">
      <alignment horizontal="center" vertical="center"/>
    </xf>
    <xf numFmtId="0" fontId="4" fillId="0" borderId="0" xfId="0" applyFont="1" applyAlignment="1">
      <alignment wrapText="1"/>
    </xf>
    <xf numFmtId="0" fontId="4" fillId="9" borderId="0" xfId="0" applyFont="1" applyFill="1" applyAlignment="1">
      <alignment horizontal="center" vertical="center"/>
    </xf>
    <xf numFmtId="0" fontId="4" fillId="0" borderId="0" xfId="0" applyFont="1" applyAlignment="1">
      <alignment horizontal="left" vertical="center"/>
    </xf>
    <xf numFmtId="0" fontId="4" fillId="9" borderId="0" xfId="0" applyFont="1" applyFill="1" applyAlignment="1">
      <alignment horizontal="left" vertical="center"/>
    </xf>
    <xf numFmtId="0" fontId="13" fillId="12" borderId="13" xfId="0" applyFont="1" applyFill="1" applyBorder="1" applyAlignment="1">
      <alignment wrapText="1" readingOrder="1"/>
    </xf>
    <xf numFmtId="0" fontId="2" fillId="12" borderId="13" xfId="1" applyFill="1" applyBorder="1" applyAlignment="1">
      <alignment wrapText="1" readingOrder="1"/>
    </xf>
    <xf numFmtId="0" fontId="13" fillId="12" borderId="12" xfId="0" applyFont="1" applyFill="1" applyBorder="1" applyAlignment="1">
      <alignment wrapText="1" readingOrder="1"/>
    </xf>
    <xf numFmtId="0" fontId="13" fillId="0" borderId="14" xfId="0" applyFont="1" applyBorder="1" applyAlignment="1">
      <alignment readingOrder="1"/>
    </xf>
    <xf numFmtId="0" fontId="4" fillId="17" borderId="1" xfId="0" applyFont="1" applyFill="1" applyBorder="1" applyAlignment="1">
      <alignment horizontal="center" vertical="center" wrapText="1"/>
    </xf>
    <xf numFmtId="0" fontId="4" fillId="17" borderId="1" xfId="0" applyFont="1" applyFill="1" applyBorder="1" applyAlignment="1">
      <alignment horizontal="left" vertical="center" wrapText="1"/>
    </xf>
    <xf numFmtId="0" fontId="4" fillId="17" borderId="5" xfId="0" applyFont="1" applyFill="1" applyBorder="1" applyAlignment="1">
      <alignment horizontal="center" vertical="center" wrapText="1"/>
    </xf>
    <xf numFmtId="0" fontId="4" fillId="17" borderId="4" xfId="0" applyFont="1" applyFill="1" applyBorder="1" applyAlignment="1">
      <alignment horizontal="center" vertical="center" wrapText="1"/>
    </xf>
    <xf numFmtId="0" fontId="6" fillId="17" borderId="5" xfId="0" applyFont="1" applyFill="1" applyBorder="1" applyAlignment="1">
      <alignment horizontal="center" vertical="center" wrapText="1"/>
    </xf>
    <xf numFmtId="0" fontId="4" fillId="17" borderId="4" xfId="0" applyFont="1" applyFill="1" applyBorder="1" applyAlignment="1">
      <alignment horizontal="center" vertical="center"/>
    </xf>
    <xf numFmtId="0" fontId="4" fillId="17" borderId="0" xfId="0" applyFont="1" applyFill="1" applyAlignment="1">
      <alignment wrapText="1"/>
    </xf>
    <xf numFmtId="0" fontId="4" fillId="17" borderId="2"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6" fillId="17" borderId="4" xfId="1" applyFont="1" applyFill="1" applyBorder="1" applyAlignment="1">
      <alignment horizontal="center" vertical="center" wrapText="1"/>
    </xf>
    <xf numFmtId="0" fontId="6" fillId="17" borderId="1" xfId="0" applyFont="1" applyFill="1" applyBorder="1" applyAlignment="1">
      <alignment horizontal="left" vertical="center" wrapText="1"/>
    </xf>
    <xf numFmtId="0" fontId="6" fillId="17" borderId="7" xfId="0" applyFont="1" applyFill="1" applyBorder="1" applyAlignment="1">
      <alignment horizontal="center" vertical="center" wrapText="1"/>
    </xf>
    <xf numFmtId="0" fontId="0" fillId="17" borderId="1" xfId="0" applyFill="1" applyBorder="1" applyAlignment="1">
      <alignment horizontal="left" vertical="center" wrapText="1"/>
    </xf>
    <xf numFmtId="0" fontId="4" fillId="17" borderId="0" xfId="0" applyFont="1" applyFill="1" applyAlignment="1">
      <alignment horizontal="center" vertical="center" wrapText="1"/>
    </xf>
    <xf numFmtId="0" fontId="4" fillId="17" borderId="8" xfId="0" applyFont="1" applyFill="1" applyBorder="1" applyAlignment="1">
      <alignment horizontal="center" vertical="center" wrapText="1"/>
    </xf>
    <xf numFmtId="0" fontId="4" fillId="17" borderId="2" xfId="0" applyFont="1" applyFill="1" applyBorder="1" applyAlignment="1">
      <alignment horizontal="left" vertical="center" wrapText="1"/>
    </xf>
    <xf numFmtId="0" fontId="4" fillId="17" borderId="0" xfId="0" applyFont="1" applyFill="1" applyAlignment="1">
      <alignment horizontal="left" vertical="center" wrapText="1"/>
    </xf>
    <xf numFmtId="0" fontId="2" fillId="17" borderId="1" xfId="1" applyFill="1" applyBorder="1" applyAlignment="1">
      <alignment horizontal="left" vertical="center" wrapText="1"/>
    </xf>
    <xf numFmtId="0" fontId="4" fillId="17" borderId="0" xfId="0" applyFont="1" applyFill="1" applyAlignment="1">
      <alignment horizontal="center" wrapText="1"/>
    </xf>
    <xf numFmtId="0" fontId="5" fillId="17" borderId="4" xfId="0" applyFont="1" applyFill="1" applyBorder="1" applyAlignment="1">
      <alignment horizontal="center" vertical="center"/>
    </xf>
    <xf numFmtId="0" fontId="0" fillId="17" borderId="1" xfId="0" applyFill="1" applyBorder="1" applyAlignment="1">
      <alignment horizontal="center" vertical="center" wrapText="1"/>
    </xf>
    <xf numFmtId="0" fontId="5" fillId="17" borderId="2"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4" fillId="17" borderId="4" xfId="0" applyFont="1" applyFill="1" applyBorder="1" applyAlignment="1">
      <alignment horizontal="left" vertical="center" wrapText="1"/>
    </xf>
    <xf numFmtId="0" fontId="4" fillId="17" borderId="4" xfId="0" applyFont="1" applyFill="1" applyBorder="1" applyAlignment="1">
      <alignment horizontal="left" vertical="center"/>
    </xf>
    <xf numFmtId="0" fontId="2" fillId="17" borderId="4" xfId="1" applyFill="1" applyBorder="1" applyAlignment="1">
      <alignment horizontal="left" vertical="center" wrapText="1"/>
    </xf>
    <xf numFmtId="0" fontId="2" fillId="17" borderId="4" xfId="1" applyFill="1" applyBorder="1"/>
    <xf numFmtId="0" fontId="4" fillId="13" borderId="10" xfId="0" applyFont="1" applyFill="1" applyBorder="1" applyAlignment="1">
      <alignment horizontal="center" vertical="center"/>
    </xf>
    <xf numFmtId="0" fontId="4" fillId="16" borderId="10" xfId="0" applyFont="1" applyFill="1" applyBorder="1" applyAlignment="1">
      <alignment horizontal="center" vertical="center"/>
    </xf>
    <xf numFmtId="0" fontId="18" fillId="0" borderId="1" xfId="0" applyFont="1" applyBorder="1" applyAlignment="1">
      <alignment horizontal="center" vertical="center" wrapText="1"/>
    </xf>
    <xf numFmtId="0" fontId="19" fillId="2" borderId="1" xfId="0" applyFont="1" applyFill="1" applyBorder="1" applyAlignment="1">
      <alignment horizontal="left" vertical="center" wrapText="1"/>
    </xf>
    <xf numFmtId="0" fontId="19" fillId="4" borderId="1" xfId="0" applyFont="1" applyFill="1" applyBorder="1" applyAlignment="1">
      <alignment horizontal="left" vertical="center" wrapText="1"/>
    </xf>
    <xf numFmtId="0" fontId="19" fillId="0" borderId="1" xfId="0" applyFont="1" applyBorder="1" applyAlignment="1">
      <alignment horizontal="left" vertical="center" wrapText="1"/>
    </xf>
    <xf numFmtId="0" fontId="20" fillId="2" borderId="1" xfId="0" applyFont="1" applyFill="1" applyBorder="1" applyAlignment="1">
      <alignment horizontal="left" vertical="center" wrapText="1"/>
    </xf>
    <xf numFmtId="0" fontId="19" fillId="6" borderId="1" xfId="0" applyFont="1" applyFill="1" applyBorder="1" applyAlignment="1">
      <alignment horizontal="left" vertical="center" wrapText="1"/>
    </xf>
    <xf numFmtId="0" fontId="19" fillId="6" borderId="1" xfId="0" applyFont="1" applyFill="1" applyBorder="1" applyAlignment="1">
      <alignment wrapText="1"/>
    </xf>
    <xf numFmtId="0" fontId="19" fillId="5" borderId="1" xfId="0" applyFont="1" applyFill="1" applyBorder="1" applyAlignment="1">
      <alignment horizontal="left" vertical="center" wrapText="1"/>
    </xf>
    <xf numFmtId="0" fontId="19" fillId="5" borderId="1" xfId="0" applyFont="1" applyFill="1" applyBorder="1" applyAlignment="1">
      <alignment vertical="center" wrapText="1"/>
    </xf>
    <xf numFmtId="0" fontId="19" fillId="5" borderId="1" xfId="0" applyFont="1" applyFill="1" applyBorder="1" applyAlignment="1">
      <alignment wrapText="1"/>
    </xf>
    <xf numFmtId="0" fontId="19" fillId="7" borderId="1" xfId="0" applyFont="1" applyFill="1" applyBorder="1" applyAlignment="1">
      <alignment horizontal="left" vertical="center" wrapText="1"/>
    </xf>
    <xf numFmtId="0" fontId="21" fillId="5" borderId="1" xfId="0" applyFont="1" applyFill="1" applyBorder="1" applyAlignment="1">
      <alignment horizontal="left" vertical="center" wrapText="1"/>
    </xf>
    <xf numFmtId="0" fontId="21" fillId="0" borderId="1" xfId="0" applyFont="1" applyBorder="1" applyAlignment="1">
      <alignment horizontal="left" vertical="center" wrapText="1"/>
    </xf>
    <xf numFmtId="0" fontId="21" fillId="7" borderId="1" xfId="0" applyFont="1" applyFill="1" applyBorder="1" applyAlignment="1">
      <alignment horizontal="left" vertical="center" wrapText="1"/>
    </xf>
    <xf numFmtId="0" fontId="15" fillId="12" borderId="4" xfId="0" applyFont="1" applyFill="1" applyBorder="1" applyAlignment="1">
      <alignment wrapText="1" readingOrder="1"/>
    </xf>
    <xf numFmtId="0" fontId="13" fillId="12" borderId="4" xfId="0" applyFont="1" applyFill="1" applyBorder="1" applyAlignment="1">
      <alignment wrapText="1" readingOrder="1"/>
    </xf>
    <xf numFmtId="0" fontId="15" fillId="12" borderId="4" xfId="0" applyFont="1" applyFill="1" applyBorder="1" applyAlignment="1">
      <alignment vertical="center" wrapText="1" readingOrder="1"/>
    </xf>
    <xf numFmtId="0" fontId="16" fillId="12" borderId="4" xfId="0" applyFont="1" applyFill="1" applyBorder="1" applyAlignment="1">
      <alignment readingOrder="1"/>
    </xf>
    <xf numFmtId="0" fontId="17" fillId="12" borderId="4" xfId="0" applyFont="1" applyFill="1" applyBorder="1" applyAlignment="1">
      <alignment wrapText="1" readingOrder="1"/>
    </xf>
    <xf numFmtId="0" fontId="15" fillId="3" borderId="4" xfId="0" applyFont="1" applyFill="1" applyBorder="1" applyAlignment="1">
      <alignment wrapText="1" readingOrder="1"/>
    </xf>
    <xf numFmtId="0" fontId="13" fillId="12" borderId="16" xfId="0" applyFont="1" applyFill="1" applyBorder="1" applyAlignment="1">
      <alignment wrapText="1" readingOrder="1"/>
    </xf>
    <xf numFmtId="0" fontId="16" fillId="12" borderId="20" xfId="0" applyFont="1" applyFill="1" applyBorder="1" applyAlignment="1">
      <alignment readingOrder="1"/>
    </xf>
    <xf numFmtId="0" fontId="15" fillId="0" borderId="4" xfId="0" applyFont="1" applyBorder="1" applyAlignment="1">
      <alignment horizontal="center" vertical="center" wrapText="1"/>
    </xf>
    <xf numFmtId="0" fontId="15" fillId="0" borderId="4" xfId="0" applyFont="1" applyBorder="1" applyAlignment="1">
      <alignment vertical="center" wrapText="1"/>
    </xf>
    <xf numFmtId="0" fontId="15" fillId="8" borderId="4" xfId="0" applyFont="1" applyFill="1" applyBorder="1" applyAlignment="1">
      <alignment horizontal="center" vertical="center" wrapText="1"/>
    </xf>
    <xf numFmtId="0" fontId="15" fillId="8" borderId="4" xfId="0" applyFont="1" applyFill="1" applyBorder="1" applyAlignment="1">
      <alignment vertical="center" wrapText="1"/>
    </xf>
    <xf numFmtId="0" fontId="15" fillId="8" borderId="4" xfId="0" applyFont="1" applyFill="1" applyBorder="1" applyAlignment="1">
      <alignment horizontal="left" vertical="center" wrapText="1"/>
    </xf>
    <xf numFmtId="14" fontId="22" fillId="9" borderId="4" xfId="0" applyNumberFormat="1" applyFont="1" applyFill="1" applyBorder="1" applyAlignment="1">
      <alignment horizontal="left" vertical="center" wrapText="1"/>
    </xf>
    <xf numFmtId="0" fontId="15" fillId="9" borderId="4" xfId="0" applyFont="1" applyFill="1" applyBorder="1" applyAlignment="1">
      <alignment horizontal="left" vertical="center" wrapText="1"/>
    </xf>
    <xf numFmtId="0" fontId="15" fillId="9" borderId="4" xfId="0" applyFont="1" applyFill="1" applyBorder="1" applyAlignment="1">
      <alignment horizontal="center" vertical="center" wrapText="1"/>
    </xf>
    <xf numFmtId="0" fontId="15" fillId="9" borderId="4" xfId="0" applyFont="1" applyFill="1" applyBorder="1" applyAlignment="1">
      <alignment vertical="center" wrapText="1"/>
    </xf>
    <xf numFmtId="0" fontId="23" fillId="8" borderId="4" xfId="0" applyFont="1" applyFill="1" applyBorder="1" applyAlignment="1">
      <alignment horizontal="center" vertical="center" wrapText="1"/>
    </xf>
    <xf numFmtId="0" fontId="22" fillId="8" borderId="4" xfId="0" applyFont="1" applyFill="1" applyBorder="1" applyAlignment="1">
      <alignment horizontal="left" vertical="center" wrapText="1"/>
    </xf>
    <xf numFmtId="0" fontId="22" fillId="9" borderId="4" xfId="0" applyFont="1" applyFill="1" applyBorder="1" applyAlignment="1">
      <alignment horizontal="left" vertical="center" wrapText="1"/>
    </xf>
    <xf numFmtId="0" fontId="15" fillId="0" borderId="4" xfId="0" applyFont="1" applyBorder="1" applyAlignment="1">
      <alignment horizontal="left" vertical="center" wrapText="1"/>
    </xf>
    <xf numFmtId="0" fontId="23" fillId="0" borderId="4" xfId="0" applyFont="1" applyBorder="1" applyAlignment="1">
      <alignment horizontal="left" vertical="center" wrapText="1"/>
    </xf>
    <xf numFmtId="0" fontId="23" fillId="9" borderId="4" xfId="0" applyFont="1" applyFill="1" applyBorder="1" applyAlignment="1">
      <alignment horizontal="center" vertical="center" wrapText="1"/>
    </xf>
    <xf numFmtId="0" fontId="23" fillId="9" borderId="4" xfId="0" applyFont="1" applyFill="1" applyBorder="1" applyAlignment="1">
      <alignment vertical="center" wrapText="1"/>
    </xf>
    <xf numFmtId="0" fontId="23" fillId="9" borderId="4" xfId="0" applyFont="1" applyFill="1" applyBorder="1" applyAlignment="1">
      <alignment horizontal="left" vertical="center" wrapText="1"/>
    </xf>
    <xf numFmtId="14" fontId="22" fillId="0" borderId="4" xfId="0" applyNumberFormat="1" applyFont="1" applyBorder="1" applyAlignment="1">
      <alignment horizontal="left" vertical="center" wrapText="1"/>
    </xf>
    <xf numFmtId="0" fontId="15" fillId="2" borderId="4" xfId="0" applyFont="1" applyFill="1" applyBorder="1" applyAlignment="1">
      <alignment horizontal="center" vertical="center" wrapText="1"/>
    </xf>
    <xf numFmtId="0" fontId="15" fillId="2" borderId="4" xfId="0" applyFont="1" applyFill="1" applyBorder="1" applyAlignment="1">
      <alignment vertical="center" wrapText="1"/>
    </xf>
    <xf numFmtId="0" fontId="23" fillId="2" borderId="4" xfId="0" applyFont="1" applyFill="1" applyBorder="1" applyAlignment="1">
      <alignment horizontal="center" vertical="center" wrapText="1"/>
    </xf>
    <xf numFmtId="0" fontId="22" fillId="0" borderId="4" xfId="0" applyFont="1" applyBorder="1" applyAlignment="1">
      <alignment horizontal="left" vertical="center" wrapText="1"/>
    </xf>
    <xf numFmtId="0" fontId="15" fillId="2" borderId="4" xfId="0" applyFont="1" applyFill="1" applyBorder="1" applyAlignment="1">
      <alignment horizontal="left" vertical="center" wrapText="1"/>
    </xf>
    <xf numFmtId="0" fontId="23" fillId="8" borderId="4" xfId="0" applyFont="1" applyFill="1" applyBorder="1" applyAlignment="1">
      <alignment vertical="center" wrapText="1"/>
    </xf>
    <xf numFmtId="0" fontId="22" fillId="2" borderId="4" xfId="0" applyFont="1" applyFill="1" applyBorder="1" applyAlignment="1">
      <alignment horizontal="left" vertical="center" wrapText="1"/>
    </xf>
    <xf numFmtId="0" fontId="15" fillId="10" borderId="4" xfId="0" applyFont="1" applyFill="1" applyBorder="1" applyAlignment="1">
      <alignment horizontal="left" vertical="center" wrapText="1"/>
    </xf>
    <xf numFmtId="0" fontId="26" fillId="8" borderId="4" xfId="0" applyFont="1" applyFill="1" applyBorder="1" applyAlignment="1">
      <alignment horizontal="center" vertical="center" wrapText="1"/>
    </xf>
    <xf numFmtId="0" fontId="27" fillId="8" borderId="4" xfId="1" applyFont="1" applyFill="1" applyBorder="1" applyAlignment="1">
      <alignment vertical="center" wrapText="1"/>
    </xf>
    <xf numFmtId="0" fontId="26" fillId="8" borderId="4" xfId="0" applyFont="1" applyFill="1" applyBorder="1" applyAlignment="1">
      <alignment horizontal="left" vertical="center" wrapText="1"/>
    </xf>
    <xf numFmtId="0" fontId="15" fillId="3" borderId="4" xfId="0" applyFont="1" applyFill="1" applyBorder="1" applyAlignment="1">
      <alignment horizontal="center" vertical="center" wrapText="1"/>
    </xf>
    <xf numFmtId="0" fontId="15" fillId="3" borderId="4" xfId="0" applyFont="1" applyFill="1" applyBorder="1" applyAlignment="1">
      <alignment vertical="center" wrapText="1"/>
    </xf>
    <xf numFmtId="0" fontId="15" fillId="3" borderId="4" xfId="0" applyFont="1" applyFill="1" applyBorder="1" applyAlignment="1">
      <alignment horizontal="left" vertical="center" wrapText="1"/>
    </xf>
    <xf numFmtId="164" fontId="15" fillId="2" borderId="4" xfId="0" applyNumberFormat="1" applyFont="1" applyFill="1" applyBorder="1" applyAlignment="1">
      <alignment horizontal="center" vertical="center" wrapText="1"/>
    </xf>
    <xf numFmtId="0" fontId="23" fillId="8" borderId="4" xfId="0" applyFont="1" applyFill="1" applyBorder="1" applyAlignment="1">
      <alignment horizontal="left" vertical="center" wrapText="1"/>
    </xf>
    <xf numFmtId="164" fontId="15" fillId="9" borderId="4" xfId="0" applyNumberFormat="1" applyFont="1" applyFill="1" applyBorder="1" applyAlignment="1">
      <alignment horizontal="center" vertical="center" wrapText="1"/>
    </xf>
    <xf numFmtId="0" fontId="15" fillId="10" borderId="4" xfId="0" applyFont="1" applyFill="1" applyBorder="1" applyAlignment="1">
      <alignment horizontal="center" vertical="center" wrapText="1"/>
    </xf>
    <xf numFmtId="0" fontId="15" fillId="10" borderId="4" xfId="0" applyFont="1" applyFill="1" applyBorder="1" applyAlignment="1">
      <alignment vertical="center" wrapText="1"/>
    </xf>
    <xf numFmtId="0" fontId="23" fillId="10" borderId="4" xfId="0" applyFont="1" applyFill="1" applyBorder="1" applyAlignment="1">
      <alignment horizontal="left" vertical="center" wrapText="1"/>
    </xf>
    <xf numFmtId="0" fontId="15" fillId="11" borderId="4" xfId="0" applyFont="1" applyFill="1" applyBorder="1" applyAlignment="1">
      <alignment horizontal="center" vertical="center" wrapText="1"/>
    </xf>
    <xf numFmtId="0" fontId="23" fillId="11" borderId="4" xfId="1" applyFont="1" applyFill="1" applyBorder="1" applyAlignment="1">
      <alignment vertical="center" wrapText="1"/>
    </xf>
    <xf numFmtId="0" fontId="23" fillId="11" borderId="4" xfId="1" applyFont="1" applyFill="1" applyBorder="1" applyAlignment="1">
      <alignment horizontal="left" vertical="center" wrapText="1"/>
    </xf>
    <xf numFmtId="164" fontId="15" fillId="11" borderId="4" xfId="0" applyNumberFormat="1" applyFont="1" applyFill="1" applyBorder="1" applyAlignment="1">
      <alignment horizontal="center" vertical="center" wrapText="1"/>
    </xf>
    <xf numFmtId="0" fontId="15" fillId="11" borderId="4" xfId="0" applyFont="1" applyFill="1" applyBorder="1" applyAlignment="1">
      <alignment horizontal="left" vertical="center" wrapText="1"/>
    </xf>
    <xf numFmtId="0" fontId="23" fillId="8" borderId="4" xfId="1" applyFont="1" applyFill="1" applyBorder="1" applyAlignment="1">
      <alignment horizontal="left" vertical="center" wrapText="1"/>
    </xf>
    <xf numFmtId="164" fontId="23" fillId="8" borderId="4" xfId="0" applyNumberFormat="1" applyFont="1" applyFill="1" applyBorder="1" applyAlignment="1">
      <alignment horizontal="center" vertical="center" wrapText="1"/>
    </xf>
    <xf numFmtId="0" fontId="15" fillId="11" borderId="4" xfId="0" applyFont="1" applyFill="1" applyBorder="1" applyAlignment="1">
      <alignment vertical="center" wrapText="1"/>
    </xf>
    <xf numFmtId="0" fontId="23" fillId="11" borderId="4" xfId="1" applyFont="1" applyFill="1" applyBorder="1" applyAlignment="1">
      <alignment horizontal="center" vertical="center" wrapText="1"/>
    </xf>
    <xf numFmtId="0" fontId="23" fillId="9" borderId="4" xfId="1" applyFont="1" applyFill="1" applyBorder="1" applyAlignment="1">
      <alignment horizontal="left" vertical="center" wrapText="1"/>
    </xf>
    <xf numFmtId="0" fontId="28" fillId="15" borderId="4" xfId="0" applyFont="1" applyFill="1" applyBorder="1" applyAlignment="1">
      <alignment horizontal="center" vertical="center" wrapText="1"/>
    </xf>
    <xf numFmtId="0" fontId="28" fillId="15" borderId="4" xfId="0" applyFont="1" applyFill="1" applyBorder="1" applyAlignment="1">
      <alignment vertical="center" wrapText="1"/>
    </xf>
    <xf numFmtId="0" fontId="24" fillId="15" borderId="4" xfId="1" applyFont="1" applyFill="1" applyBorder="1" applyAlignment="1">
      <alignment horizontal="left" vertical="center" wrapText="1"/>
    </xf>
    <xf numFmtId="164" fontId="28" fillId="15" borderId="4" xfId="0" applyNumberFormat="1" applyFont="1" applyFill="1" applyBorder="1" applyAlignment="1">
      <alignment horizontal="center" vertical="center" wrapText="1"/>
    </xf>
    <xf numFmtId="0" fontId="28" fillId="15" borderId="4" xfId="0" applyFont="1" applyFill="1" applyBorder="1" applyAlignment="1">
      <alignment horizontal="left" vertical="center" wrapText="1"/>
    </xf>
    <xf numFmtId="0" fontId="23" fillId="2" borderId="4" xfId="1" applyFont="1" applyFill="1" applyBorder="1" applyAlignment="1">
      <alignment horizontal="left" vertical="center" wrapText="1"/>
    </xf>
    <xf numFmtId="0" fontId="15" fillId="15" borderId="4" xfId="0" applyFont="1" applyFill="1" applyBorder="1" applyAlignment="1">
      <alignment horizontal="center" vertical="center" wrapText="1"/>
    </xf>
    <xf numFmtId="0" fontId="15" fillId="15" borderId="4" xfId="0" applyFont="1" applyFill="1" applyBorder="1" applyAlignment="1">
      <alignment vertical="center" wrapText="1"/>
    </xf>
    <xf numFmtId="0" fontId="23" fillId="15" borderId="4" xfId="1" applyFont="1" applyFill="1" applyBorder="1" applyAlignment="1">
      <alignment horizontal="left" vertical="center" wrapText="1"/>
    </xf>
    <xf numFmtId="0" fontId="15" fillId="15" borderId="4" xfId="0" applyFont="1" applyFill="1" applyBorder="1" applyAlignment="1">
      <alignment horizontal="left" vertical="center" wrapText="1"/>
    </xf>
    <xf numFmtId="0" fontId="27" fillId="3" borderId="4" xfId="1" applyFont="1" applyFill="1" applyBorder="1" applyAlignment="1">
      <alignment horizontal="left" vertical="center" wrapText="1"/>
    </xf>
    <xf numFmtId="0" fontId="23" fillId="8" borderId="4" xfId="1" applyFont="1" applyFill="1" applyBorder="1" applyAlignment="1">
      <alignment vertical="center" wrapText="1"/>
    </xf>
    <xf numFmtId="164" fontId="22" fillId="8" borderId="4" xfId="0" applyNumberFormat="1" applyFont="1" applyFill="1" applyBorder="1" applyAlignment="1">
      <alignment horizontal="center" vertical="center" wrapText="1"/>
    </xf>
    <xf numFmtId="15" fontId="15" fillId="15" borderId="4" xfId="0" applyNumberFormat="1" applyFont="1" applyFill="1" applyBorder="1" applyAlignment="1">
      <alignment horizontal="left" vertical="center" wrapText="1"/>
    </xf>
    <xf numFmtId="0" fontId="29" fillId="3" borderId="4" xfId="1" applyFont="1" applyFill="1" applyBorder="1" applyAlignment="1">
      <alignment horizontal="left" vertical="center" wrapText="1"/>
    </xf>
    <xf numFmtId="0" fontId="31" fillId="0" borderId="4" xfId="0" applyFont="1" applyBorder="1" applyAlignment="1">
      <alignment horizontal="left" vertical="center" wrapText="1"/>
    </xf>
    <xf numFmtId="0" fontId="27" fillId="0" borderId="4" xfId="1" applyFont="1" applyBorder="1" applyAlignment="1">
      <alignment horizontal="left" vertical="center" wrapText="1"/>
    </xf>
    <xf numFmtId="0" fontId="27" fillId="2" borderId="4" xfId="1" applyFont="1" applyFill="1" applyBorder="1" applyAlignment="1">
      <alignment horizontal="left" vertical="center" wrapText="1"/>
    </xf>
    <xf numFmtId="17" fontId="15" fillId="0" borderId="4" xfId="0" applyNumberFormat="1" applyFont="1" applyBorder="1" applyAlignment="1">
      <alignment horizontal="left" vertical="center" wrapText="1"/>
    </xf>
    <xf numFmtId="0" fontId="23" fillId="3" borderId="4" xfId="0" applyFont="1" applyFill="1" applyBorder="1" applyAlignment="1">
      <alignment horizontal="left" vertical="center" wrapText="1"/>
    </xf>
    <xf numFmtId="0" fontId="23" fillId="15" borderId="4" xfId="0" applyFont="1" applyFill="1" applyBorder="1" applyAlignment="1">
      <alignment horizontal="left" vertical="center" wrapText="1"/>
    </xf>
    <xf numFmtId="15" fontId="15" fillId="0" borderId="4" xfId="0" applyNumberFormat="1" applyFont="1" applyBorder="1" applyAlignment="1">
      <alignment horizontal="left" vertical="center" wrapText="1"/>
    </xf>
    <xf numFmtId="0" fontId="27" fillId="3" borderId="4" xfId="1" applyFont="1" applyFill="1" applyBorder="1" applyAlignment="1">
      <alignment wrapText="1" readingOrder="1"/>
    </xf>
    <xf numFmtId="0" fontId="27" fillId="12" borderId="4" xfId="1" applyFont="1" applyFill="1" applyBorder="1" applyAlignment="1">
      <alignment wrapText="1" readingOrder="1"/>
    </xf>
    <xf numFmtId="0" fontId="15" fillId="0" borderId="4" xfId="0" applyFont="1" applyBorder="1" applyAlignment="1">
      <alignment wrapText="1"/>
    </xf>
    <xf numFmtId="0" fontId="27" fillId="12" borderId="4" xfId="1" applyFont="1" applyFill="1" applyBorder="1" applyAlignment="1">
      <alignment vertical="center" wrapText="1" readingOrder="1"/>
    </xf>
    <xf numFmtId="0" fontId="23" fillId="12" borderId="4" xfId="1" applyFont="1" applyFill="1" applyBorder="1" applyAlignment="1">
      <alignment vertical="center" wrapText="1" readingOrder="1"/>
    </xf>
    <xf numFmtId="14" fontId="15" fillId="0" borderId="4" xfId="0" applyNumberFormat="1" applyFont="1" applyBorder="1" applyAlignment="1">
      <alignment horizontal="left" vertical="center" wrapText="1"/>
    </xf>
    <xf numFmtId="0" fontId="29" fillId="0" borderId="4" xfId="1" applyFont="1" applyBorder="1" applyAlignment="1">
      <alignment horizontal="left" vertical="center" wrapText="1"/>
    </xf>
    <xf numFmtId="0" fontId="15" fillId="0" borderId="4" xfId="0" applyFont="1" applyBorder="1"/>
    <xf numFmtId="0" fontId="28" fillId="0" borderId="4" xfId="0" applyFont="1" applyBorder="1" applyAlignment="1">
      <alignment horizontal="left" vertical="center" wrapText="1"/>
    </xf>
    <xf numFmtId="0" fontId="24" fillId="0" borderId="4" xfId="0" applyFont="1" applyBorder="1" applyAlignment="1">
      <alignment horizontal="left" vertical="center" wrapText="1"/>
    </xf>
    <xf numFmtId="0" fontId="28" fillId="0" borderId="4" xfId="0" applyFont="1" applyBorder="1" applyAlignment="1">
      <alignment vertical="center" wrapText="1"/>
    </xf>
    <xf numFmtId="0" fontId="23" fillId="12" borderId="4" xfId="1" applyFont="1" applyFill="1" applyBorder="1" applyAlignment="1">
      <alignment wrapText="1" readingOrder="1"/>
    </xf>
    <xf numFmtId="0" fontId="28" fillId="12" borderId="4" xfId="0" applyFont="1" applyFill="1" applyBorder="1" applyAlignment="1">
      <alignment wrapText="1" readingOrder="1"/>
    </xf>
    <xf numFmtId="0" fontId="35" fillId="12" borderId="4" xfId="1" applyFont="1" applyFill="1" applyBorder="1" applyAlignment="1">
      <alignment wrapText="1" readingOrder="1"/>
    </xf>
    <xf numFmtId="0" fontId="36" fillId="12" borderId="4" xfId="1" applyFont="1" applyFill="1" applyBorder="1" applyAlignment="1">
      <alignment wrapText="1" readingOrder="1"/>
    </xf>
    <xf numFmtId="16" fontId="15" fillId="0" borderId="4" xfId="0" applyNumberFormat="1" applyFont="1" applyBorder="1" applyAlignment="1">
      <alignment horizontal="left" vertical="center" wrapText="1"/>
    </xf>
    <xf numFmtId="0" fontId="38" fillId="12" borderId="15" xfId="0" applyFont="1" applyFill="1" applyBorder="1" applyAlignment="1">
      <alignment wrapText="1" readingOrder="1"/>
    </xf>
    <xf numFmtId="0" fontId="36" fillId="12" borderId="17" xfId="1" applyFont="1" applyFill="1" applyBorder="1" applyAlignment="1">
      <alignment wrapText="1" readingOrder="1"/>
    </xf>
    <xf numFmtId="0" fontId="15" fillId="9" borderId="0" xfId="1" applyFont="1" applyFill="1" applyAlignment="1">
      <alignment vertical="center" wrapText="1"/>
    </xf>
    <xf numFmtId="0" fontId="6" fillId="0" borderId="0" xfId="1" applyFont="1" applyAlignment="1">
      <alignment horizontal="left" vertical="center"/>
    </xf>
    <xf numFmtId="0" fontId="15" fillId="0" borderId="21" xfId="0" applyFont="1" applyBorder="1" applyAlignment="1">
      <alignment horizontal="left" vertical="center" wrapText="1"/>
    </xf>
    <xf numFmtId="15" fontId="15" fillId="9" borderId="4" xfId="0" applyNumberFormat="1" applyFont="1" applyFill="1" applyBorder="1" applyAlignment="1">
      <alignment horizontal="center" vertical="center" wrapText="1"/>
    </xf>
    <xf numFmtId="0" fontId="28" fillId="0" borderId="4" xfId="0" applyFont="1" applyBorder="1" applyAlignment="1">
      <alignment horizontal="center" vertical="center" wrapText="1"/>
    </xf>
    <xf numFmtId="165" fontId="15" fillId="0" borderId="4" xfId="0" applyNumberFormat="1" applyFont="1" applyBorder="1" applyAlignment="1">
      <alignment horizontal="center" vertical="center" wrapText="1"/>
    </xf>
    <xf numFmtId="165" fontId="15" fillId="9" borderId="4" xfId="0" applyNumberFormat="1" applyFont="1" applyFill="1" applyBorder="1" applyAlignment="1">
      <alignment horizontal="center" vertical="center" wrapText="1"/>
    </xf>
    <xf numFmtId="165" fontId="23" fillId="9" borderId="4" xfId="0" applyNumberFormat="1" applyFont="1" applyFill="1" applyBorder="1" applyAlignment="1">
      <alignment horizontal="center" vertical="center" wrapText="1"/>
    </xf>
    <xf numFmtId="165" fontId="28" fillId="0" borderId="4" xfId="0" applyNumberFormat="1" applyFont="1" applyBorder="1" applyAlignment="1">
      <alignment horizontal="center" vertical="center" wrapText="1"/>
    </xf>
    <xf numFmtId="0" fontId="15" fillId="0" borderId="0" xfId="0" applyFont="1" applyAlignment="1">
      <alignment horizontal="center" vertical="center" wrapText="1"/>
    </xf>
    <xf numFmtId="0" fontId="15" fillId="0" borderId="21" xfId="0" applyFont="1" applyBorder="1" applyAlignment="1">
      <alignment horizontal="center" vertical="center" wrapText="1"/>
    </xf>
    <xf numFmtId="0" fontId="15" fillId="8" borderId="21" xfId="0" applyFont="1" applyFill="1" applyBorder="1" applyAlignment="1">
      <alignment horizontal="center" vertical="center" wrapText="1"/>
    </xf>
    <xf numFmtId="0" fontId="15" fillId="9" borderId="21" xfId="0" applyFont="1" applyFill="1" applyBorder="1" applyAlignment="1">
      <alignment horizontal="center" vertical="center" wrapText="1"/>
    </xf>
    <xf numFmtId="0" fontId="15" fillId="2" borderId="21" xfId="0" applyFont="1" applyFill="1" applyBorder="1" applyAlignment="1">
      <alignment horizontal="center" vertical="center" wrapText="1"/>
    </xf>
    <xf numFmtId="0" fontId="23" fillId="8" borderId="21" xfId="0" applyFont="1" applyFill="1" applyBorder="1" applyAlignment="1">
      <alignment horizontal="center" vertical="center" wrapText="1"/>
    </xf>
    <xf numFmtId="0" fontId="26" fillId="8" borderId="21" xfId="0" applyFont="1" applyFill="1" applyBorder="1" applyAlignment="1">
      <alignment horizontal="center" vertical="center" wrapText="1"/>
    </xf>
    <xf numFmtId="0" fontId="15" fillId="10" borderId="21"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15" fillId="11" borderId="21" xfId="0" applyFont="1" applyFill="1" applyBorder="1" applyAlignment="1">
      <alignment horizontal="center" vertical="center" wrapText="1"/>
    </xf>
    <xf numFmtId="0" fontId="28" fillId="15" borderId="21" xfId="0" applyFont="1" applyFill="1" applyBorder="1" applyAlignment="1">
      <alignment horizontal="center" vertical="center" wrapText="1"/>
    </xf>
    <xf numFmtId="0" fontId="15" fillId="15" borderId="21" xfId="0" applyFont="1" applyFill="1" applyBorder="1" applyAlignment="1">
      <alignment horizontal="center" vertical="center" wrapText="1"/>
    </xf>
    <xf numFmtId="0" fontId="15" fillId="3" borderId="21" xfId="0" applyFont="1" applyFill="1" applyBorder="1" applyAlignment="1">
      <alignment horizontal="left" vertical="center" wrapText="1"/>
    </xf>
    <xf numFmtId="0" fontId="15" fillId="2" borderId="21" xfId="0" applyFont="1" applyFill="1" applyBorder="1" applyAlignment="1">
      <alignment horizontal="left" vertical="center" wrapText="1"/>
    </xf>
    <xf numFmtId="0" fontId="15" fillId="15" borderId="21" xfId="0" applyFont="1" applyFill="1" applyBorder="1" applyAlignment="1">
      <alignment horizontal="left" vertical="center" wrapText="1"/>
    </xf>
    <xf numFmtId="0" fontId="23" fillId="10" borderId="21" xfId="0" applyFont="1" applyFill="1" applyBorder="1" applyAlignment="1">
      <alignment horizontal="left" vertical="center" wrapText="1"/>
    </xf>
    <xf numFmtId="0" fontId="15" fillId="8" borderId="21" xfId="0" applyFont="1" applyFill="1" applyBorder="1" applyAlignment="1">
      <alignment horizontal="left" vertical="center" wrapText="1"/>
    </xf>
    <xf numFmtId="0" fontId="15" fillId="15" borderId="21" xfId="0" applyFont="1" applyFill="1" applyBorder="1" applyAlignment="1">
      <alignment vertical="center" wrapText="1"/>
    </xf>
    <xf numFmtId="0" fontId="15" fillId="2" borderId="21" xfId="0" applyFont="1" applyFill="1" applyBorder="1" applyAlignment="1">
      <alignment vertical="center" wrapText="1"/>
    </xf>
    <xf numFmtId="0" fontId="23" fillId="15" borderId="21" xfId="0" applyFont="1" applyFill="1" applyBorder="1" applyAlignment="1">
      <alignment horizontal="left" vertical="center" wrapText="1"/>
    </xf>
    <xf numFmtId="0" fontId="23" fillId="9" borderId="21" xfId="0" applyFont="1" applyFill="1" applyBorder="1" applyAlignment="1">
      <alignment horizontal="left" vertical="center" wrapText="1"/>
    </xf>
    <xf numFmtId="0" fontId="15" fillId="9" borderId="21" xfId="0" applyFont="1" applyFill="1" applyBorder="1" applyAlignment="1">
      <alignment horizontal="left" vertical="center" wrapText="1"/>
    </xf>
    <xf numFmtId="0" fontId="15" fillId="3" borderId="21" xfId="0" applyFont="1" applyFill="1" applyBorder="1" applyAlignment="1">
      <alignment wrapText="1" readingOrder="1"/>
    </xf>
    <xf numFmtId="0" fontId="15" fillId="12" borderId="21" xfId="0" applyFont="1" applyFill="1" applyBorder="1" applyAlignment="1">
      <alignment wrapText="1" readingOrder="1"/>
    </xf>
    <xf numFmtId="0" fontId="15" fillId="12" borderId="21" xfId="0" applyFont="1" applyFill="1" applyBorder="1" applyAlignment="1">
      <alignment vertical="center" wrapText="1" readingOrder="1"/>
    </xf>
    <xf numFmtId="0" fontId="13" fillId="12" borderId="21" xfId="0" applyFont="1" applyFill="1" applyBorder="1" applyAlignment="1">
      <alignment wrapText="1" readingOrder="1"/>
    </xf>
    <xf numFmtId="0" fontId="28" fillId="0" borderId="21" xfId="0" applyFont="1" applyBorder="1" applyAlignment="1">
      <alignment horizontal="left" vertical="center" wrapText="1"/>
    </xf>
    <xf numFmtId="0" fontId="28" fillId="12" borderId="21" xfId="0" applyFont="1" applyFill="1" applyBorder="1" applyAlignment="1">
      <alignment wrapText="1" readingOrder="1"/>
    </xf>
    <xf numFmtId="0" fontId="17" fillId="12" borderId="21" xfId="0" applyFont="1" applyFill="1" applyBorder="1" applyAlignment="1">
      <alignment wrapText="1" readingOrder="1"/>
    </xf>
    <xf numFmtId="0" fontId="13" fillId="12" borderId="22" xfId="0" applyFont="1" applyFill="1" applyBorder="1" applyAlignment="1">
      <alignment wrapText="1" readingOrder="1"/>
    </xf>
    <xf numFmtId="0" fontId="13" fillId="12" borderId="23" xfId="0" applyFont="1" applyFill="1" applyBorder="1" applyAlignment="1">
      <alignment wrapText="1" readingOrder="1"/>
    </xf>
    <xf numFmtId="0" fontId="28" fillId="0" borderId="0" xfId="0" applyFont="1" applyAlignment="1">
      <alignment horizontal="center" vertical="center" wrapText="1"/>
    </xf>
    <xf numFmtId="0" fontId="15" fillId="0" borderId="0" xfId="0" applyFont="1" applyAlignment="1">
      <alignment horizontal="center" vertical="center" wrapText="1"/>
      <extLst>
        <ext xmlns:xfpb="http://schemas.microsoft.com/office/spreadsheetml/2022/featurepropertybag" uri="{C7286773-470A-42A8-94C5-96B5CB345126}">
          <xfpb:xfComplement i="0"/>
        </ext>
      </extLst>
    </xf>
    <xf numFmtId="0" fontId="23" fillId="9" borderId="21" xfId="0" applyFont="1" applyFill="1" applyBorder="1" applyAlignment="1">
      <alignment horizontal="center" vertical="center" wrapText="1"/>
    </xf>
    <xf numFmtId="0" fontId="32" fillId="2" borderId="21" xfId="0" applyFont="1" applyFill="1" applyBorder="1" applyAlignment="1">
      <alignment wrapText="1"/>
    </xf>
    <xf numFmtId="0" fontId="34" fillId="3" borderId="21" xfId="0" applyFont="1" applyFill="1" applyBorder="1" applyAlignment="1">
      <alignment wrapText="1"/>
    </xf>
    <xf numFmtId="0" fontId="15" fillId="3" borderId="21" xfId="0" applyFont="1" applyFill="1" applyBorder="1" applyAlignment="1">
      <alignment readingOrder="1"/>
    </xf>
    <xf numFmtId="0" fontId="15" fillId="12" borderId="21" xfId="0" applyFont="1" applyFill="1" applyBorder="1" applyAlignment="1">
      <alignment readingOrder="1"/>
    </xf>
    <xf numFmtId="0" fontId="15" fillId="12" borderId="21" xfId="0" applyFont="1" applyFill="1" applyBorder="1" applyAlignment="1">
      <alignment vertical="center" readingOrder="1"/>
    </xf>
    <xf numFmtId="0" fontId="13" fillId="12" borderId="21" xfId="0" applyFont="1" applyFill="1" applyBorder="1" applyAlignment="1">
      <alignment readingOrder="1"/>
    </xf>
    <xf numFmtId="0" fontId="28" fillId="12" borderId="21" xfId="0" applyFont="1" applyFill="1" applyBorder="1" applyAlignment="1">
      <alignment readingOrder="1"/>
    </xf>
    <xf numFmtId="0" fontId="13" fillId="12" borderId="24" xfId="0" applyFont="1" applyFill="1" applyBorder="1" applyAlignment="1">
      <alignment wrapText="1" readingOrder="1"/>
    </xf>
    <xf numFmtId="0" fontId="15" fillId="9" borderId="21" xfId="1" applyFont="1" applyFill="1" applyBorder="1" applyAlignment="1">
      <alignment vertical="center" wrapText="1"/>
    </xf>
    <xf numFmtId="0" fontId="15" fillId="9"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15" fillId="2"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15" fillId="3"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15" fillId="11"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23" fillId="8"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28" fillId="15"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15" fillId="15"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15" fillId="8"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23" fillId="10"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23" fillId="15"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23" fillId="9"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15" fillId="8" borderId="21" xfId="0" applyFont="1" applyFill="1" applyBorder="1" applyAlignment="1">
      <alignment vertical="center"/>
    </xf>
    <xf numFmtId="15" fontId="23" fillId="9" borderId="4" xfId="0" applyNumberFormat="1" applyFont="1" applyFill="1" applyBorder="1" applyAlignment="1">
      <alignment horizontal="center" vertical="center" wrapText="1"/>
    </xf>
    <xf numFmtId="0" fontId="28" fillId="9" borderId="4" xfId="0" applyFont="1" applyFill="1" applyBorder="1" applyAlignment="1">
      <alignment horizontal="center" vertical="center" wrapText="1"/>
    </xf>
    <xf numFmtId="165" fontId="28" fillId="9" borderId="4" xfId="0" applyNumberFormat="1" applyFont="1" applyFill="1" applyBorder="1" applyAlignment="1">
      <alignment horizontal="center" vertical="center" wrapText="1"/>
    </xf>
    <xf numFmtId="0" fontId="28" fillId="9" borderId="4" xfId="0" applyFont="1" applyFill="1" applyBorder="1" applyAlignment="1">
      <alignment horizontal="left" vertical="center" wrapText="1"/>
    </xf>
    <xf numFmtId="0" fontId="23" fillId="10" borderId="4" xfId="0" applyFont="1" applyFill="1" applyBorder="1" applyAlignment="1">
      <alignment vertical="center" wrapText="1"/>
    </xf>
    <xf numFmtId="0" fontId="25" fillId="8" borderId="4" xfId="0" applyFont="1" applyFill="1" applyBorder="1" applyAlignment="1">
      <alignment horizontal="left" vertical="center" wrapText="1"/>
    </xf>
    <xf numFmtId="14" fontId="22" fillId="8" borderId="4" xfId="0" applyNumberFormat="1" applyFont="1" applyFill="1" applyBorder="1" applyAlignment="1">
      <alignment horizontal="left" vertical="center" wrapText="1"/>
    </xf>
    <xf numFmtId="0" fontId="15" fillId="9" borderId="0" xfId="0" applyFont="1" applyFill="1" applyAlignment="1">
      <alignment horizontal="center" vertical="center" wrapText="1"/>
    </xf>
    <xf numFmtId="0" fontId="15" fillId="9" borderId="0" xfId="0" applyFont="1" applyFill="1" applyAlignment="1">
      <alignment vertical="center" wrapText="1"/>
    </xf>
    <xf numFmtId="0" fontId="15" fillId="9" borderId="0" xfId="0" applyFont="1" applyFill="1" applyAlignment="1">
      <alignment horizontal="left" vertical="center" wrapText="1"/>
    </xf>
    <xf numFmtId="0" fontId="23" fillId="9" borderId="0" xfId="0" applyFont="1" applyFill="1" applyAlignment="1">
      <alignment horizontal="center" vertical="center" wrapText="1"/>
    </xf>
    <xf numFmtId="0" fontId="22" fillId="9" borderId="0" xfId="0" applyFont="1" applyFill="1" applyAlignment="1">
      <alignment horizontal="left" vertical="center" wrapText="1"/>
    </xf>
    <xf numFmtId="0" fontId="23" fillId="9" borderId="0" xfId="0" applyFont="1" applyFill="1" applyAlignment="1">
      <alignment vertical="center" wrapText="1"/>
    </xf>
    <xf numFmtId="0" fontId="23" fillId="9" borderId="0" xfId="0" applyFont="1" applyFill="1" applyAlignment="1">
      <alignment horizontal="left" vertical="center" wrapText="1"/>
    </xf>
    <xf numFmtId="0" fontId="25" fillId="9" borderId="0" xfId="0" applyFont="1" applyFill="1" applyAlignment="1">
      <alignment horizontal="left" vertical="center" wrapText="1"/>
    </xf>
    <xf numFmtId="0" fontId="26" fillId="9" borderId="0" xfId="0" applyFont="1" applyFill="1" applyAlignment="1">
      <alignment horizontal="center" vertical="center" wrapText="1"/>
    </xf>
    <xf numFmtId="0" fontId="27" fillId="9" borderId="0" xfId="1" applyFont="1" applyFill="1" applyBorder="1" applyAlignment="1">
      <alignment vertical="center" wrapText="1"/>
    </xf>
    <xf numFmtId="0" fontId="26" fillId="9" borderId="0" xfId="0" applyFont="1" applyFill="1" applyAlignment="1">
      <alignment horizontal="left" vertical="center" wrapText="1"/>
    </xf>
    <xf numFmtId="0" fontId="15" fillId="0" borderId="11"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4" xfId="0" applyFont="1" applyBorder="1" applyAlignment="1">
      <alignment horizontal="center" vertical="center" wrapText="1"/>
    </xf>
    <xf numFmtId="0" fontId="15" fillId="3" borderId="4" xfId="0" applyFont="1" applyFill="1" applyBorder="1" applyAlignment="1">
      <alignment horizontal="center" vertical="center" wrapText="1"/>
    </xf>
    <xf numFmtId="0" fontId="13" fillId="12" borderId="4" xfId="0" applyFont="1" applyFill="1" applyBorder="1" applyAlignment="1">
      <alignment wrapText="1" readingOrder="1"/>
    </xf>
    <xf numFmtId="0" fontId="15" fillId="12" borderId="4" xfId="0" applyFont="1" applyFill="1" applyBorder="1" applyAlignment="1">
      <alignment wrapText="1" readingOrder="1"/>
    </xf>
    <xf numFmtId="0" fontId="15" fillId="0" borderId="4" xfId="0" applyFont="1" applyBorder="1" applyAlignment="1">
      <alignment wrapText="1"/>
    </xf>
    <xf numFmtId="0" fontId="15" fillId="12" borderId="4" xfId="0" applyFont="1" applyFill="1" applyBorder="1" applyAlignment="1">
      <alignment vertical="center" wrapText="1" readingOrder="1"/>
    </xf>
    <xf numFmtId="0" fontId="23" fillId="4" borderId="4" xfId="0" applyFont="1" applyFill="1" applyBorder="1" applyAlignment="1">
      <alignment horizontal="center" vertical="center" wrapText="1"/>
    </xf>
    <xf numFmtId="0" fontId="15" fillId="3" borderId="4" xfId="0" applyFont="1" applyFill="1" applyBorder="1" applyAlignment="1">
      <alignment horizontal="left" vertical="center" wrapText="1"/>
    </xf>
    <xf numFmtId="0" fontId="13" fillId="12" borderId="10" xfId="0" applyFont="1" applyFill="1" applyBorder="1" applyAlignment="1">
      <alignment horizontal="left" vertical="center" wrapText="1" readingOrder="1"/>
    </xf>
    <xf numFmtId="0" fontId="13" fillId="12" borderId="11" xfId="0" applyFont="1" applyFill="1" applyBorder="1" applyAlignment="1">
      <alignment horizontal="left" vertical="center" wrapText="1" readingOrder="1"/>
    </xf>
    <xf numFmtId="0" fontId="15" fillId="9" borderId="4"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5" fillId="8" borderId="4" xfId="0" applyFont="1" applyFill="1" applyBorder="1" applyAlignment="1">
      <alignment horizontal="left" vertical="center" wrapText="1"/>
    </xf>
    <xf numFmtId="0" fontId="13" fillId="12" borderId="4" xfId="0" applyFont="1" applyFill="1" applyBorder="1" applyAlignment="1">
      <alignment readingOrder="1"/>
    </xf>
    <xf numFmtId="0" fontId="15" fillId="0" borderId="10" xfId="0" applyFont="1" applyBorder="1" applyAlignment="1">
      <alignment horizontal="left" vertical="center" wrapText="1"/>
    </xf>
    <xf numFmtId="0" fontId="15" fillId="0" borderId="11" xfId="0" applyFont="1" applyBorder="1" applyAlignment="1">
      <alignment horizontal="left" vertical="center" wrapText="1"/>
    </xf>
    <xf numFmtId="0" fontId="36" fillId="12" borderId="4" xfId="1" applyFont="1" applyFill="1" applyBorder="1" applyAlignment="1">
      <alignment wrapText="1" readingOrder="1"/>
    </xf>
    <xf numFmtId="0" fontId="37" fillId="12" borderId="4" xfId="1" applyFont="1" applyFill="1" applyBorder="1" applyAlignment="1">
      <alignment wrapText="1" readingOrder="1"/>
    </xf>
    <xf numFmtId="0" fontId="13" fillId="12" borderId="18" xfId="0" applyFont="1" applyFill="1" applyBorder="1" applyAlignment="1">
      <alignment wrapText="1" readingOrder="1"/>
    </xf>
    <xf numFmtId="0" fontId="13" fillId="12" borderId="19" xfId="0" applyFont="1" applyFill="1" applyBorder="1" applyAlignment="1">
      <alignment wrapText="1" readingOrder="1"/>
    </xf>
    <xf numFmtId="0" fontId="4" fillId="17" borderId="2" xfId="0" applyFont="1" applyFill="1" applyBorder="1" applyAlignment="1">
      <alignment horizontal="center" vertical="center" wrapText="1"/>
    </xf>
    <xf numFmtId="0" fontId="4" fillId="17" borderId="3" xfId="0" applyFont="1" applyFill="1" applyBorder="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center" vertical="center"/>
    </xf>
    <xf numFmtId="0" fontId="15" fillId="9" borderId="0" xfId="0" applyFont="1" applyFill="1" applyAlignment="1">
      <alignment horizontal="center" vertical="center" wrapText="1"/>
    </xf>
    <xf numFmtId="0" fontId="40"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E3A8A8"/>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texasoncology.com/locations/houston-area/woodlands-urology-specialists" TargetMode="External"/><Relationship Id="rId18" Type="http://schemas.openxmlformats.org/officeDocument/2006/relationships/hyperlink" Target="https://nassercardiology.com/" TargetMode="External"/><Relationship Id="rId26" Type="http://schemas.openxmlformats.org/officeDocument/2006/relationships/hyperlink" Target="https://www.txgastro.com/" TargetMode="External"/><Relationship Id="rId3" Type="http://schemas.openxmlformats.org/officeDocument/2006/relationships/hyperlink" Target="https://www.drferay.com/" TargetMode="External"/><Relationship Id="rId21" Type="http://schemas.openxmlformats.org/officeDocument/2006/relationships/hyperlink" Target="https://www.twhvc.com/index.php" TargetMode="External"/><Relationship Id="rId34" Type="http://schemas.openxmlformats.org/officeDocument/2006/relationships/hyperlink" Target="https://www.google.com/maps?sca_esv=0ced97706a2430ad&amp;output=search&amp;q=150+Pine+Forest+Dr+Suite+501,+Shenandoah,+TX+77384,+United+States&amp;source=lnms&amp;fbs=AEQNm0BHe81ENDqBETLQnY7GvZ6DuLmuyoIygHWw0AVlEU0M4SStISBy6cQSRFhve1V9w4_WnozAHBeK-xlTkwugA3ldssee9BvQGyE6018f6z3a3uMyoEHFR03MZc_WAeq4DJ5mNrVKiJgACkA_XWi26XLB6tbdzHXVYe8EteP40nJBAvVoqCgzi5kkOYbQnnHgHfLq0_NJaCzJqA5nmam_W5MhFaCYSw&amp;entry=mc&amp;ved=1t:200715&amp;ictx=111" TargetMode="External"/><Relationship Id="rId7" Type="http://schemas.openxmlformats.org/officeDocument/2006/relationships/hyperlink" Target="https://northwoodsurology.com/" TargetMode="External"/><Relationship Id="rId12" Type="http://schemas.openxmlformats.org/officeDocument/2006/relationships/hyperlink" Target="https://jamespickettfb0.dr-leonardo.com/" TargetMode="External"/><Relationship Id="rId17" Type="http://schemas.openxmlformats.org/officeDocument/2006/relationships/hyperlink" Target="https://www.kidneydocs.org/shenandoah" TargetMode="External"/><Relationship Id="rId25" Type="http://schemas.openxmlformats.org/officeDocument/2006/relationships/hyperlink" Target="https://www.hcahoustonhealthcare.com/physicians/profile/Dr-Amit-Annamaneni-MD" TargetMode="External"/><Relationship Id="rId33" Type="http://schemas.openxmlformats.org/officeDocument/2006/relationships/hyperlink" Target="https://share.google/oKrRTi8VoEJBNOLuY" TargetMode="External"/><Relationship Id="rId2" Type="http://schemas.openxmlformats.org/officeDocument/2006/relationships/hyperlink" Target="https://www.doximity.com/directory/md/location/texas/shenandoah?after=pub%2Fai-sumida-md" TargetMode="External"/><Relationship Id="rId16" Type="http://schemas.openxmlformats.org/officeDocument/2006/relationships/hyperlink" Target="https://savekidney.com/" TargetMode="External"/><Relationship Id="rId20" Type="http://schemas.openxmlformats.org/officeDocument/2006/relationships/hyperlink" Target="https://www.twcardiocenter.com/" TargetMode="External"/><Relationship Id="rId29" Type="http://schemas.openxmlformats.org/officeDocument/2006/relationships/hyperlink" Target="https://www.txgastro.com/" TargetMode="External"/><Relationship Id="rId1" Type="http://schemas.openxmlformats.org/officeDocument/2006/relationships/hyperlink" Target="https://www.sacomplete.com/" TargetMode="External"/><Relationship Id="rId6" Type="http://schemas.openxmlformats.org/officeDocument/2006/relationships/hyperlink" Target="https://northwoodsurology.com/" TargetMode="External"/><Relationship Id="rId11" Type="http://schemas.openxmlformats.org/officeDocument/2006/relationships/hyperlink" Target="https://shahzadmd.com/gastroenterology/" TargetMode="External"/><Relationship Id="rId24" Type="http://schemas.openxmlformats.org/officeDocument/2006/relationships/hyperlink" Target="https://advancedcardiodr.com/" TargetMode="External"/><Relationship Id="rId32" Type="http://schemas.openxmlformats.org/officeDocument/2006/relationships/hyperlink" Target="https://www.myprivia.com/northwoodsendocrinology/providers" TargetMode="External"/><Relationship Id="rId5" Type="http://schemas.openxmlformats.org/officeDocument/2006/relationships/hyperlink" Target="Tel:%20936-523-7041" TargetMode="External"/><Relationship Id="rId15" Type="http://schemas.openxmlformats.org/officeDocument/2006/relationships/hyperlink" Target="https://www.buschemeyerurology.com/" TargetMode="External"/><Relationship Id="rId23" Type="http://schemas.openxmlformats.org/officeDocument/2006/relationships/hyperlink" Target="https://newwavephysicians.com/" TargetMode="External"/><Relationship Id="rId28" Type="http://schemas.openxmlformats.org/officeDocument/2006/relationships/hyperlink" Target="https://www.primerheumatology.com/" TargetMode="External"/><Relationship Id="rId36" Type="http://schemas.openxmlformats.org/officeDocument/2006/relationships/printerSettings" Target="../printerSettings/printerSettings1.bin"/><Relationship Id="rId10" Type="http://schemas.openxmlformats.org/officeDocument/2006/relationships/hyperlink" Target="https://drgeadsdavinci.com/" TargetMode="External"/><Relationship Id="rId19" Type="http://schemas.openxmlformats.org/officeDocument/2006/relationships/hyperlink" Target="https://www.cyfaircardio.com/" TargetMode="External"/><Relationship Id="rId31" Type="http://schemas.openxmlformats.org/officeDocument/2006/relationships/hyperlink" Target="https://windrosefamilymedicine.com/" TargetMode="External"/><Relationship Id="rId4" Type="http://schemas.openxmlformats.org/officeDocument/2006/relationships/hyperlink" Target="https://qlmddpc.com/" TargetMode="External"/><Relationship Id="rId9" Type="http://schemas.openxmlformats.org/officeDocument/2006/relationships/hyperlink" Target="http://www.texasregionalurology.com/" TargetMode="External"/><Relationship Id="rId14" Type="http://schemas.openxmlformats.org/officeDocument/2006/relationships/hyperlink" Target="https://northwoodsurology.com/locations/the-woodlands-tx/" TargetMode="External"/><Relationship Id="rId22" Type="http://schemas.openxmlformats.org/officeDocument/2006/relationships/hyperlink" Target="https://www.vedadpc.com/" TargetMode="External"/><Relationship Id="rId27" Type="http://schemas.openxmlformats.org/officeDocument/2006/relationships/hyperlink" Target="https://www.houstonheartcenter.com/location/the-woodlands-tx" TargetMode="External"/><Relationship Id="rId30" Type="http://schemas.openxmlformats.org/officeDocument/2006/relationships/hyperlink" Target="https://www.woodlandsarthritisclinic.com/" TargetMode="External"/><Relationship Id="rId35" Type="http://schemas.openxmlformats.org/officeDocument/2006/relationships/hyperlink" Target="https://www.google.com/maps?sca_esv=0ced97706a2430ad&amp;output=search&amp;q=150+Pine+Forest+Dr+Suite+501,+Shenandoah,+TX+77384,+United+States&amp;source=lnms&amp;fbs=AEQNm0BHe81ENDqBETLQnY7GvZ6DuLmuyoIygHWw0AVlEU0M4SStISBy6cQSRFhve1V9w4_WnozAHBeK-xlTkwugA3ldssee9BvQGyE6018f6z3a3uMyoEHFR03MZc_WAeq4DJ5mNrVKiJgACkA_XWi26XLB6tbdzHXVYe8EteP40nJBAvVoqCgzi5kkOYbQnnHgHfLq0_NJaCzJqA5nmam_W5MhFaCYSw&amp;entry=mc&amp;ved=1t:200715&amp;ictx=111" TargetMode="External"/><Relationship Id="rId8" Type="http://schemas.openxmlformats.org/officeDocument/2006/relationships/hyperlink" Target="https://springcreekurology.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mydocmd.com/" TargetMode="External"/><Relationship Id="rId2" Type="http://schemas.openxmlformats.org/officeDocument/2006/relationships/hyperlink" Target="https://advancedcardiodr.com/" TargetMode="External"/><Relationship Id="rId1" Type="http://schemas.openxmlformats.org/officeDocument/2006/relationships/hyperlink" Target="https://pulsehealthcaresystem.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htxsportsme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358"/>
  <sheetViews>
    <sheetView tabSelected="1" zoomScale="84" zoomScaleNormal="84" workbookViewId="0">
      <pane ySplit="1" topLeftCell="A15" activePane="bottomLeft" state="frozen"/>
      <selection pane="bottomLeft" activeCell="A2" sqref="A2"/>
    </sheetView>
  </sheetViews>
  <sheetFormatPr defaultRowHeight="12.75"/>
  <cols>
    <col min="1" max="1" width="6" style="193" customWidth="1"/>
    <col min="2" max="2" width="42.140625" style="108" customWidth="1"/>
    <col min="3" max="3" width="59.140625" style="186" customWidth="1"/>
    <col min="4" max="4" width="43.140625" style="108" customWidth="1"/>
    <col min="5" max="5" width="41.85546875" style="108" customWidth="1"/>
    <col min="6" max="6" width="37.5703125" style="108" customWidth="1"/>
    <col min="7" max="7" width="30.42578125" style="108" customWidth="1"/>
    <col min="8" max="8" width="13.28515625" style="108" customWidth="1"/>
    <col min="9" max="9" width="18" style="96" customWidth="1"/>
    <col min="10" max="10" width="10.28515625" style="189" customWidth="1"/>
    <col min="11" max="11" width="11" style="189" customWidth="1"/>
    <col min="12" max="12" width="10.28515625" style="189" customWidth="1"/>
    <col min="13" max="16384" width="9.140625" style="108"/>
  </cols>
  <sheetData>
    <row r="1" spans="1:53" s="96" customFormat="1" ht="27.75">
      <c r="A1" s="193"/>
      <c r="B1" s="96" t="s">
        <v>0</v>
      </c>
      <c r="C1" s="194" t="s">
        <v>1</v>
      </c>
      <c r="D1" s="97" t="s">
        <v>2</v>
      </c>
      <c r="E1" s="96" t="s">
        <v>3</v>
      </c>
      <c r="F1" s="96" t="s">
        <v>4</v>
      </c>
      <c r="G1" s="103" t="s">
        <v>5</v>
      </c>
      <c r="H1" s="103"/>
      <c r="I1" s="103" t="s">
        <v>6</v>
      </c>
      <c r="J1" s="190" t="s">
        <v>7</v>
      </c>
      <c r="K1" s="190" t="s">
        <v>8</v>
      </c>
      <c r="L1" s="190" t="s">
        <v>9</v>
      </c>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row>
    <row r="2" spans="1:53" s="102" customFormat="1" ht="82.5" customHeight="1">
      <c r="A2" s="236" t="b">
        <v>0</v>
      </c>
      <c r="B2" s="98" t="s">
        <v>10</v>
      </c>
      <c r="C2" s="195" t="s">
        <v>11</v>
      </c>
      <c r="D2" s="99" t="s">
        <v>12</v>
      </c>
      <c r="E2" s="98" t="s">
        <v>13</v>
      </c>
      <c r="F2" s="100" t="s">
        <v>14</v>
      </c>
      <c r="G2" s="101" t="s">
        <v>15</v>
      </c>
      <c r="I2" s="187">
        <v>45915</v>
      </c>
      <c r="J2" s="190">
        <f>EDATE(I2,1)</f>
        <v>45945</v>
      </c>
      <c r="K2" s="190">
        <f>EDATE(I2,3)</f>
        <v>46006</v>
      </c>
      <c r="L2" s="190">
        <f>EDATE(I2,6)</f>
        <v>46096</v>
      </c>
    </row>
    <row r="3" spans="1:53" s="102" customFormat="1" ht="96.75">
      <c r="A3" s="236" t="b">
        <v>0</v>
      </c>
      <c r="B3" s="279" t="s">
        <v>16</v>
      </c>
      <c r="C3" s="196" t="s">
        <v>17</v>
      </c>
      <c r="D3" s="104" t="s">
        <v>18</v>
      </c>
      <c r="E3" s="103" t="s">
        <v>19</v>
      </c>
      <c r="F3" s="102" t="s">
        <v>20</v>
      </c>
      <c r="I3" s="103"/>
      <c r="J3" s="190"/>
      <c r="K3" s="190"/>
      <c r="L3" s="190"/>
    </row>
    <row r="4" spans="1:53" s="102" customFormat="1" ht="83.25">
      <c r="A4" s="236" t="b">
        <v>0</v>
      </c>
      <c r="B4" s="279"/>
      <c r="C4" s="196" t="s">
        <v>21</v>
      </c>
      <c r="D4" s="104" t="s">
        <v>18</v>
      </c>
      <c r="E4" s="103" t="s">
        <v>22</v>
      </c>
      <c r="I4" s="103"/>
      <c r="J4" s="190"/>
      <c r="K4" s="190"/>
      <c r="L4" s="190"/>
    </row>
    <row r="5" spans="1:53" s="102" customFormat="1" ht="276">
      <c r="A5" s="236" t="b">
        <v>0</v>
      </c>
      <c r="B5" s="98" t="s">
        <v>23</v>
      </c>
      <c r="C5" s="195" t="s">
        <v>24</v>
      </c>
      <c r="D5" s="99" t="s">
        <v>25</v>
      </c>
      <c r="E5" s="105" t="s">
        <v>26</v>
      </c>
      <c r="F5" s="106" t="s">
        <v>27</v>
      </c>
      <c r="G5" s="107" t="s">
        <v>15</v>
      </c>
      <c r="I5" s="187">
        <v>45925</v>
      </c>
      <c r="J5" s="190">
        <f>EDATE(I5,1)</f>
        <v>45955</v>
      </c>
      <c r="K5" s="190">
        <f>EDATE(I5,3)</f>
        <v>46016</v>
      </c>
      <c r="L5" s="190">
        <f>EDATE(I5,6)</f>
        <v>46106</v>
      </c>
    </row>
    <row r="6" spans="1:53" ht="27.75">
      <c r="A6" s="225" t="b">
        <v>0</v>
      </c>
      <c r="B6" s="96" t="s">
        <v>28</v>
      </c>
      <c r="C6" s="194" t="s">
        <v>29</v>
      </c>
      <c r="D6" s="97" t="s">
        <v>30</v>
      </c>
      <c r="E6" s="96" t="s">
        <v>31</v>
      </c>
      <c r="G6" s="108" t="s">
        <v>32</v>
      </c>
      <c r="H6" s="108" t="s">
        <v>33</v>
      </c>
      <c r="I6" s="103"/>
      <c r="J6" s="190"/>
      <c r="K6" s="190"/>
      <c r="L6" s="190"/>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c r="AR6" s="102"/>
      <c r="AS6" s="102"/>
      <c r="AT6" s="102"/>
      <c r="AU6" s="102"/>
      <c r="AV6" s="102"/>
      <c r="AW6" s="102"/>
      <c r="AX6" s="102"/>
      <c r="AY6" s="102"/>
      <c r="AZ6" s="102"/>
      <c r="BA6" s="102"/>
    </row>
    <row r="7" spans="1:53" s="102" customFormat="1" ht="123.75" customHeight="1">
      <c r="A7" s="236" t="b">
        <v>0</v>
      </c>
      <c r="B7" s="280" t="s">
        <v>34</v>
      </c>
      <c r="C7" s="198" t="s">
        <v>35</v>
      </c>
      <c r="D7" s="99" t="s">
        <v>36</v>
      </c>
      <c r="E7" s="98" t="s">
        <v>37</v>
      </c>
      <c r="F7" s="100" t="s">
        <v>38</v>
      </c>
      <c r="G7" s="101" t="s">
        <v>15</v>
      </c>
      <c r="I7" s="103"/>
      <c r="J7" s="190"/>
      <c r="K7" s="190"/>
      <c r="L7" s="190"/>
    </row>
    <row r="8" spans="1:53" s="102" customFormat="1" ht="147" customHeight="1">
      <c r="A8" s="236" t="b">
        <v>0</v>
      </c>
      <c r="B8" s="280"/>
      <c r="C8" s="226" t="s">
        <v>39</v>
      </c>
      <c r="D8" s="111" t="s">
        <v>40</v>
      </c>
      <c r="E8" s="110" t="s">
        <v>41</v>
      </c>
      <c r="F8" s="112"/>
      <c r="G8" s="101"/>
      <c r="I8" s="103"/>
      <c r="J8" s="190"/>
      <c r="K8" s="190"/>
      <c r="L8" s="190"/>
    </row>
    <row r="9" spans="1:53" s="102" customFormat="1" ht="147" customHeight="1">
      <c r="A9" s="236" t="b">
        <v>0</v>
      </c>
      <c r="B9" s="280"/>
      <c r="C9" s="226" t="s">
        <v>42</v>
      </c>
      <c r="D9" s="111" t="s">
        <v>43</v>
      </c>
      <c r="E9" s="110" t="s">
        <v>44</v>
      </c>
      <c r="F9" s="112"/>
      <c r="G9" s="101"/>
      <c r="I9" s="103"/>
      <c r="J9" s="190"/>
      <c r="K9" s="190"/>
      <c r="L9" s="190"/>
    </row>
    <row r="10" spans="1:53" s="102" customFormat="1" ht="141.75" customHeight="1">
      <c r="A10" s="236" t="b">
        <v>0</v>
      </c>
      <c r="B10" s="280" t="s">
        <v>45</v>
      </c>
      <c r="C10" s="195" t="s">
        <v>46</v>
      </c>
      <c r="D10" s="99" t="s">
        <v>47</v>
      </c>
      <c r="E10" s="105" t="s">
        <v>48</v>
      </c>
      <c r="F10" s="100" t="s">
        <v>49</v>
      </c>
      <c r="G10" s="113" t="s">
        <v>15</v>
      </c>
      <c r="I10" s="187">
        <v>45807</v>
      </c>
      <c r="J10" s="190">
        <f>EDATE(I10,1)</f>
        <v>45838</v>
      </c>
      <c r="K10" s="190">
        <f>EDATE(I10,3)</f>
        <v>45899</v>
      </c>
      <c r="L10" s="190">
        <f>EDATE(I10,6)</f>
        <v>45991</v>
      </c>
    </row>
    <row r="11" spans="1:53" s="102" customFormat="1" ht="204.75" customHeight="1">
      <c r="A11" s="236" t="b">
        <v>0</v>
      </c>
      <c r="B11" s="280"/>
      <c r="C11" s="195" t="s">
        <v>50</v>
      </c>
      <c r="D11" s="99" t="s">
        <v>51</v>
      </c>
      <c r="E11" s="105" t="s">
        <v>52</v>
      </c>
      <c r="F11" s="253" t="s">
        <v>53</v>
      </c>
      <c r="G11" s="254">
        <v>46055</v>
      </c>
      <c r="I11" s="187">
        <v>46057</v>
      </c>
      <c r="J11" s="190">
        <f>EDATE(I11,1)</f>
        <v>46085</v>
      </c>
      <c r="K11" s="190">
        <f>EDATE(I11,3)</f>
        <v>46146</v>
      </c>
      <c r="L11" s="190">
        <f>EDATE(I11,6)</f>
        <v>46238</v>
      </c>
    </row>
    <row r="12" spans="1:53" s="102" customFormat="1" ht="54.75">
      <c r="A12" s="236" t="b">
        <v>0</v>
      </c>
      <c r="B12" s="98" t="s">
        <v>54</v>
      </c>
      <c r="C12" s="195" t="s">
        <v>55</v>
      </c>
      <c r="D12" s="99" t="s">
        <v>56</v>
      </c>
      <c r="E12" s="98" t="s">
        <v>57</v>
      </c>
      <c r="F12" s="100" t="s">
        <v>58</v>
      </c>
      <c r="G12" s="101" t="s">
        <v>15</v>
      </c>
      <c r="I12" s="103"/>
      <c r="J12" s="190"/>
      <c r="K12" s="190"/>
      <c r="L12" s="190"/>
    </row>
    <row r="13" spans="1:53" s="102" customFormat="1" ht="41.25">
      <c r="A13" s="236" t="b">
        <v>0</v>
      </c>
      <c r="B13" s="103" t="s">
        <v>54</v>
      </c>
      <c r="C13" s="196" t="s">
        <v>59</v>
      </c>
      <c r="D13" s="104" t="s">
        <v>60</v>
      </c>
      <c r="E13" s="103" t="s">
        <v>61</v>
      </c>
      <c r="G13" s="101"/>
      <c r="I13" s="103"/>
      <c r="J13" s="190"/>
      <c r="K13" s="190"/>
      <c r="L13" s="190"/>
    </row>
    <row r="14" spans="1:53" s="102" customFormat="1" ht="41.25">
      <c r="A14" s="236" t="b">
        <v>0</v>
      </c>
      <c r="B14" s="125" t="s">
        <v>62</v>
      </c>
      <c r="C14" s="201" t="s">
        <v>63</v>
      </c>
      <c r="D14" s="126" t="s">
        <v>64</v>
      </c>
      <c r="E14" s="125" t="s">
        <v>65</v>
      </c>
      <c r="F14" s="102" t="s">
        <v>66</v>
      </c>
      <c r="G14" s="117" t="s">
        <v>20</v>
      </c>
      <c r="I14" s="103"/>
      <c r="J14" s="190"/>
      <c r="K14" s="190"/>
      <c r="L14" s="190"/>
    </row>
    <row r="15" spans="1:53" s="102" customFormat="1" ht="92.25" customHeight="1">
      <c r="A15" s="236" t="b">
        <v>0</v>
      </c>
      <c r="B15" s="98" t="s">
        <v>67</v>
      </c>
      <c r="C15" s="195" t="s">
        <v>68</v>
      </c>
      <c r="D15" s="99" t="s">
        <v>69</v>
      </c>
      <c r="E15" s="98" t="s">
        <v>70</v>
      </c>
      <c r="F15" s="100" t="s">
        <v>58</v>
      </c>
      <c r="G15" s="101" t="s">
        <v>15</v>
      </c>
      <c r="I15" s="103"/>
      <c r="J15" s="190"/>
      <c r="K15" s="190"/>
      <c r="L15" s="190"/>
    </row>
    <row r="16" spans="1:53" s="102" customFormat="1" ht="83.25" customHeight="1">
      <c r="A16" s="236" t="b">
        <v>0</v>
      </c>
      <c r="B16" s="98" t="s">
        <v>71</v>
      </c>
      <c r="C16" s="195" t="s">
        <v>72</v>
      </c>
      <c r="D16" s="99" t="s">
        <v>73</v>
      </c>
      <c r="E16" s="98" t="s">
        <v>71</v>
      </c>
      <c r="F16" s="100" t="s">
        <v>58</v>
      </c>
      <c r="G16" s="107" t="s">
        <v>15</v>
      </c>
      <c r="I16" s="103"/>
      <c r="J16" s="190"/>
      <c r="K16" s="190"/>
      <c r="L16" s="190"/>
    </row>
    <row r="17" spans="1:53" s="102" customFormat="1" ht="48.75" customHeight="1">
      <c r="A17" s="236" t="b">
        <v>0</v>
      </c>
      <c r="B17" s="98" t="s">
        <v>74</v>
      </c>
      <c r="C17" s="195" t="s">
        <v>72</v>
      </c>
      <c r="D17" s="99" t="s">
        <v>75</v>
      </c>
      <c r="E17" s="98" t="s">
        <v>74</v>
      </c>
      <c r="F17" s="100" t="s">
        <v>58</v>
      </c>
      <c r="G17" s="101" t="s">
        <v>15</v>
      </c>
      <c r="I17" s="103"/>
      <c r="J17" s="190"/>
      <c r="K17" s="190"/>
      <c r="L17" s="190"/>
    </row>
    <row r="18" spans="1:53" ht="41.25">
      <c r="A18" s="225" t="b">
        <v>0</v>
      </c>
      <c r="B18" s="98" t="s">
        <v>76</v>
      </c>
      <c r="C18" s="195" t="s">
        <v>77</v>
      </c>
      <c r="D18" s="99" t="s">
        <v>78</v>
      </c>
      <c r="E18" s="98" t="s">
        <v>79</v>
      </c>
      <c r="F18" s="100" t="s">
        <v>80</v>
      </c>
      <c r="G18" s="113" t="s">
        <v>15</v>
      </c>
      <c r="I18" s="187">
        <v>46079</v>
      </c>
      <c r="J18" s="190">
        <f>EDATE(I18,1)</f>
        <v>46107</v>
      </c>
      <c r="K18" s="190">
        <f>EDATE(I18,3)</f>
        <v>46168</v>
      </c>
      <c r="L18" s="190">
        <f>EDATE(I18,6)</f>
        <v>46260</v>
      </c>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row>
    <row r="19" spans="1:53" s="118" customFormat="1" ht="41.25">
      <c r="A19" s="237" t="b">
        <v>0</v>
      </c>
      <c r="B19" s="114" t="s">
        <v>81</v>
      </c>
      <c r="C19" s="197" t="s">
        <v>82</v>
      </c>
      <c r="D19" s="115" t="s">
        <v>83</v>
      </c>
      <c r="E19" s="114" t="s">
        <v>84</v>
      </c>
      <c r="F19" s="118" t="s">
        <v>85</v>
      </c>
      <c r="I19" s="103"/>
      <c r="J19" s="190"/>
      <c r="K19" s="190"/>
      <c r="L19" s="190"/>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row>
    <row r="20" spans="1:53" s="102" customFormat="1" ht="220.5">
      <c r="A20" s="236" t="b">
        <v>0</v>
      </c>
      <c r="B20" s="98" t="s">
        <v>86</v>
      </c>
      <c r="C20" s="195" t="s">
        <v>87</v>
      </c>
      <c r="D20" s="119" t="s">
        <v>88</v>
      </c>
      <c r="E20" s="98" t="s">
        <v>89</v>
      </c>
      <c r="F20" s="100" t="s">
        <v>90</v>
      </c>
      <c r="G20" s="113" t="s">
        <v>15</v>
      </c>
      <c r="I20" s="103"/>
      <c r="J20" s="190"/>
      <c r="K20" s="190"/>
      <c r="L20" s="190"/>
    </row>
    <row r="21" spans="1:53" s="102" customFormat="1" ht="13.5">
      <c r="A21" s="236" t="b">
        <v>0</v>
      </c>
      <c r="B21" s="280" t="s">
        <v>91</v>
      </c>
      <c r="C21" s="195" t="s">
        <v>92</v>
      </c>
      <c r="D21" s="99" t="s">
        <v>93</v>
      </c>
      <c r="E21" s="281" t="s">
        <v>94</v>
      </c>
      <c r="F21" s="100" t="s">
        <v>95</v>
      </c>
      <c r="G21" s="107" t="s">
        <v>15</v>
      </c>
      <c r="I21" s="103"/>
      <c r="J21" s="190"/>
      <c r="K21" s="190"/>
      <c r="L21" s="190"/>
    </row>
    <row r="22" spans="1:53" s="102" customFormat="1" ht="99" customHeight="1">
      <c r="A22" s="236" t="b">
        <v>0</v>
      </c>
      <c r="B22" s="280"/>
      <c r="C22" s="197" t="s">
        <v>96</v>
      </c>
      <c r="D22" s="118" t="s">
        <v>97</v>
      </c>
      <c r="E22" s="281"/>
      <c r="F22" s="120" t="s">
        <v>98</v>
      </c>
      <c r="G22" s="107"/>
      <c r="I22" s="187">
        <v>46132</v>
      </c>
      <c r="J22" s="190">
        <f>EDATE(I22,1)</f>
        <v>46162</v>
      </c>
      <c r="K22" s="190">
        <f>EDATE(I22,3)</f>
        <v>46223</v>
      </c>
      <c r="L22" s="190">
        <f>EDATE(I22,6)</f>
        <v>46315</v>
      </c>
    </row>
    <row r="23" spans="1:53" s="118" customFormat="1" ht="151.5">
      <c r="A23" s="237" t="b">
        <v>0</v>
      </c>
      <c r="B23" s="114" t="s">
        <v>99</v>
      </c>
      <c r="C23" s="197" t="s">
        <v>100</v>
      </c>
      <c r="D23" s="115" t="s">
        <v>101</v>
      </c>
      <c r="E23" s="114" t="s">
        <v>102</v>
      </c>
      <c r="F23" s="118" t="s">
        <v>103</v>
      </c>
      <c r="G23" s="118" t="s">
        <v>104</v>
      </c>
      <c r="H23" s="102"/>
      <c r="I23" s="103"/>
      <c r="J23" s="190"/>
      <c r="K23" s="190"/>
      <c r="L23" s="190"/>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row>
    <row r="24" spans="1:53" s="118" customFormat="1" ht="96.75">
      <c r="A24" s="237" t="b">
        <v>0</v>
      </c>
      <c r="B24" s="114" t="s">
        <v>105</v>
      </c>
      <c r="C24" s="197" t="s">
        <v>106</v>
      </c>
      <c r="D24" s="115" t="s">
        <v>107</v>
      </c>
      <c r="E24" s="114" t="s">
        <v>108</v>
      </c>
      <c r="F24" s="118" t="s">
        <v>109</v>
      </c>
      <c r="G24" s="118" t="s">
        <v>104</v>
      </c>
      <c r="H24" s="102"/>
      <c r="I24" s="103"/>
      <c r="J24" s="190"/>
      <c r="K24" s="190"/>
      <c r="L24" s="190"/>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row>
    <row r="25" spans="1:53" s="102" customFormat="1" ht="96.75">
      <c r="A25" s="236" t="b">
        <v>0</v>
      </c>
      <c r="B25" s="98" t="s">
        <v>110</v>
      </c>
      <c r="C25" s="195" t="s">
        <v>111</v>
      </c>
      <c r="D25" s="99" t="s">
        <v>112</v>
      </c>
      <c r="E25" s="98" t="s">
        <v>113</v>
      </c>
      <c r="F25" s="100" t="s">
        <v>114</v>
      </c>
      <c r="G25" s="101" t="s">
        <v>115</v>
      </c>
      <c r="I25" s="187">
        <v>46021</v>
      </c>
      <c r="J25" s="190">
        <f>EDATE(I25,1)</f>
        <v>46052</v>
      </c>
      <c r="K25" s="190">
        <f>EDATE(I25,3)</f>
        <v>46111</v>
      </c>
      <c r="L25" s="190">
        <f>EDATE(I25,6)</f>
        <v>46203</v>
      </c>
    </row>
    <row r="26" spans="1:53" ht="77.25" customHeight="1">
      <c r="A26" s="225" t="b">
        <v>0</v>
      </c>
      <c r="B26" s="280" t="s">
        <v>116</v>
      </c>
      <c r="C26" s="195" t="s">
        <v>117</v>
      </c>
      <c r="D26" s="99" t="s">
        <v>118</v>
      </c>
      <c r="E26" s="98" t="s">
        <v>119</v>
      </c>
      <c r="F26" s="100" t="s">
        <v>120</v>
      </c>
      <c r="G26" s="113" t="s">
        <v>15</v>
      </c>
      <c r="I26" s="187">
        <v>45903</v>
      </c>
      <c r="J26" s="190">
        <f>EDATE(I26,1)</f>
        <v>45933</v>
      </c>
      <c r="K26" s="190">
        <f>EDATE(I26,3)</f>
        <v>45994</v>
      </c>
      <c r="L26" s="190">
        <f>EDATE(I26,6)</f>
        <v>46084</v>
      </c>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row>
    <row r="27" spans="1:53" s="118" customFormat="1" ht="27.75">
      <c r="A27" s="237" t="b">
        <v>0</v>
      </c>
      <c r="B27" s="280"/>
      <c r="C27" s="197" t="s">
        <v>121</v>
      </c>
      <c r="D27" s="115" t="s">
        <v>122</v>
      </c>
      <c r="E27" s="114" t="s">
        <v>123</v>
      </c>
      <c r="F27" s="118" t="s">
        <v>124</v>
      </c>
      <c r="G27" s="118" t="s">
        <v>104</v>
      </c>
      <c r="I27" s="103"/>
      <c r="J27" s="190"/>
      <c r="K27" s="190"/>
      <c r="L27" s="190"/>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row>
    <row r="28" spans="1:53" s="102" customFormat="1" ht="139.5" customHeight="1">
      <c r="A28" s="236" t="b">
        <v>0</v>
      </c>
      <c r="B28" s="98" t="s">
        <v>125</v>
      </c>
      <c r="C28" s="195" t="s">
        <v>126</v>
      </c>
      <c r="D28" s="99" t="s">
        <v>127</v>
      </c>
      <c r="E28" s="98" t="s">
        <v>128</v>
      </c>
      <c r="F28" s="100" t="s">
        <v>129</v>
      </c>
      <c r="G28" s="121"/>
      <c r="I28" s="103"/>
      <c r="J28" s="190"/>
      <c r="K28" s="190"/>
      <c r="L28" s="190"/>
    </row>
    <row r="29" spans="1:53" ht="54.75">
      <c r="A29" s="225" t="b">
        <v>0</v>
      </c>
      <c r="B29" s="105" t="s">
        <v>130</v>
      </c>
      <c r="C29" s="195" t="s">
        <v>131</v>
      </c>
      <c r="D29" s="99" t="s">
        <v>132</v>
      </c>
      <c r="E29" s="98" t="s">
        <v>133</v>
      </c>
      <c r="F29" s="100" t="s">
        <v>134</v>
      </c>
      <c r="G29" s="117" t="s">
        <v>15</v>
      </c>
      <c r="I29" s="187">
        <v>45903</v>
      </c>
      <c r="J29" s="190">
        <f>EDATE(I29,1)</f>
        <v>45933</v>
      </c>
      <c r="K29" s="190">
        <f>EDATE(I29,3)</f>
        <v>45994</v>
      </c>
      <c r="L29" s="190">
        <f>EDATE(I29,6)</f>
        <v>46084</v>
      </c>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row>
    <row r="30" spans="1:53" s="102" customFormat="1" ht="96.75">
      <c r="A30" s="236" t="b">
        <v>0</v>
      </c>
      <c r="B30" s="105" t="s">
        <v>135</v>
      </c>
      <c r="C30" s="195" t="s">
        <v>136</v>
      </c>
      <c r="D30" s="99" t="s">
        <v>137</v>
      </c>
      <c r="E30" s="98" t="s">
        <v>138</v>
      </c>
      <c r="F30" s="100" t="s">
        <v>139</v>
      </c>
      <c r="G30" s="107" t="s">
        <v>140</v>
      </c>
      <c r="I30" s="103"/>
      <c r="J30" s="190"/>
      <c r="K30" s="190"/>
      <c r="L30" s="190"/>
    </row>
    <row r="31" spans="1:53" s="118" customFormat="1" ht="54.75">
      <c r="A31" s="237" t="b">
        <v>0</v>
      </c>
      <c r="B31" s="116" t="s">
        <v>141</v>
      </c>
      <c r="C31" s="197" t="s">
        <v>142</v>
      </c>
      <c r="D31" s="115" t="s">
        <v>143</v>
      </c>
      <c r="E31" s="114" t="s">
        <v>144</v>
      </c>
      <c r="F31" s="118" t="s">
        <v>145</v>
      </c>
      <c r="G31" s="118" t="s">
        <v>104</v>
      </c>
      <c r="I31" s="103"/>
      <c r="J31" s="190"/>
      <c r="K31" s="190"/>
      <c r="L31" s="190"/>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row>
    <row r="32" spans="1:53" ht="151.5">
      <c r="A32" s="225" t="b">
        <v>0</v>
      </c>
      <c r="B32" s="105" t="s">
        <v>146</v>
      </c>
      <c r="C32" s="195" t="s">
        <v>147</v>
      </c>
      <c r="D32" s="99" t="s">
        <v>148</v>
      </c>
      <c r="E32" s="98" t="s">
        <v>149</v>
      </c>
      <c r="F32" s="100" t="s">
        <v>150</v>
      </c>
      <c r="G32" s="117" t="s">
        <v>15</v>
      </c>
      <c r="I32" s="187">
        <v>45903</v>
      </c>
      <c r="J32" s="190">
        <f>EDATE(I32,1)</f>
        <v>45933</v>
      </c>
      <c r="K32" s="190">
        <f>EDATE(I32,3)</f>
        <v>45994</v>
      </c>
      <c r="L32" s="190">
        <f>EDATE(I32,6)</f>
        <v>46084</v>
      </c>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row>
    <row r="33" spans="1:53" ht="96.75">
      <c r="A33" s="225" t="b">
        <v>0</v>
      </c>
      <c r="B33" s="122" t="s">
        <v>151</v>
      </c>
      <c r="C33" s="199" t="s">
        <v>136</v>
      </c>
      <c r="D33" s="123" t="s">
        <v>152</v>
      </c>
      <c r="E33" s="122" t="s">
        <v>153</v>
      </c>
      <c r="F33" s="124" t="s">
        <v>154</v>
      </c>
      <c r="G33" s="117"/>
      <c r="I33" s="187">
        <v>45812</v>
      </c>
      <c r="J33" s="190">
        <f>EDATE(I33,1)</f>
        <v>45842</v>
      </c>
      <c r="K33" s="190">
        <f>EDATE(I33,3)</f>
        <v>45904</v>
      </c>
      <c r="L33" s="190">
        <f>EDATE(I33,6)</f>
        <v>45995</v>
      </c>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row>
    <row r="34" spans="1:53" ht="138">
      <c r="A34" s="225" t="b">
        <v>0</v>
      </c>
      <c r="B34" s="269" t="s">
        <v>155</v>
      </c>
      <c r="C34" s="194" t="s">
        <v>156</v>
      </c>
      <c r="D34" s="97" t="s">
        <v>157</v>
      </c>
      <c r="E34" s="96" t="s">
        <v>158</v>
      </c>
      <c r="F34" s="108" t="s">
        <v>159</v>
      </c>
      <c r="I34" s="103"/>
      <c r="J34" s="190"/>
      <c r="K34" s="190"/>
      <c r="L34" s="190"/>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row>
    <row r="35" spans="1:53" ht="61.5" customHeight="1">
      <c r="A35" s="225" t="b">
        <v>0</v>
      </c>
      <c r="B35" s="269"/>
      <c r="C35" s="201" t="s">
        <v>160</v>
      </c>
      <c r="D35" s="126" t="s">
        <v>157</v>
      </c>
      <c r="E35" s="125" t="s">
        <v>161</v>
      </c>
      <c r="F35" s="127" t="s">
        <v>162</v>
      </c>
      <c r="H35" s="108" t="s">
        <v>163</v>
      </c>
      <c r="I35" s="187">
        <v>46130</v>
      </c>
      <c r="J35" s="190">
        <f>EDATE(I35,1)</f>
        <v>46160</v>
      </c>
      <c r="K35" s="190">
        <f>EDATE(I35,3)</f>
        <v>46221</v>
      </c>
      <c r="L35" s="190">
        <f>EDATE(I35,6)</f>
        <v>46313</v>
      </c>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row>
    <row r="36" spans="1:53" s="118" customFormat="1" ht="41.25">
      <c r="A36" s="237" t="b">
        <v>0</v>
      </c>
      <c r="B36" s="269"/>
      <c r="C36" s="197" t="s">
        <v>164</v>
      </c>
      <c r="D36" s="115" t="s">
        <v>165</v>
      </c>
      <c r="E36" s="114" t="s">
        <v>166</v>
      </c>
      <c r="F36" s="118" t="s">
        <v>167</v>
      </c>
      <c r="G36" s="118" t="s">
        <v>104</v>
      </c>
      <c r="H36" s="102"/>
      <c r="I36" s="103"/>
      <c r="J36" s="190"/>
      <c r="K36" s="190"/>
      <c r="L36" s="190"/>
      <c r="M36" s="102"/>
      <c r="N36" s="102"/>
      <c r="O36" s="102"/>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row>
    <row r="37" spans="1:53" ht="13.5">
      <c r="A37" s="225" t="b">
        <v>0</v>
      </c>
      <c r="B37" s="98" t="s">
        <v>168</v>
      </c>
      <c r="C37" s="195" t="s">
        <v>169</v>
      </c>
      <c r="D37" s="99" t="s">
        <v>170</v>
      </c>
      <c r="E37" s="98" t="s">
        <v>171</v>
      </c>
      <c r="F37" s="100"/>
      <c r="G37" s="113">
        <v>45897</v>
      </c>
      <c r="H37" s="102"/>
      <c r="I37" s="103"/>
      <c r="J37" s="190"/>
      <c r="K37" s="190"/>
      <c r="L37" s="190"/>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row>
    <row r="38" spans="1:53" s="118" customFormat="1" ht="41.25">
      <c r="A38" s="237" t="b">
        <v>0</v>
      </c>
      <c r="B38" s="114" t="s">
        <v>172</v>
      </c>
      <c r="C38" s="197" t="s">
        <v>173</v>
      </c>
      <c r="D38" s="115" t="s">
        <v>174</v>
      </c>
      <c r="E38" s="114" t="s">
        <v>175</v>
      </c>
      <c r="F38" s="118" t="s">
        <v>176</v>
      </c>
      <c r="G38" s="118" t="s">
        <v>104</v>
      </c>
      <c r="H38" s="102"/>
      <c r="I38" s="187"/>
      <c r="J38" s="190"/>
      <c r="K38" s="190"/>
      <c r="L38" s="190"/>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row>
    <row r="39" spans="1:53" s="118" customFormat="1" ht="27.75">
      <c r="A39" s="237" t="b">
        <v>0</v>
      </c>
      <c r="B39" s="114" t="s">
        <v>177</v>
      </c>
      <c r="C39" s="197" t="s">
        <v>178</v>
      </c>
      <c r="D39" s="115" t="s">
        <v>179</v>
      </c>
      <c r="E39" s="114" t="s">
        <v>177</v>
      </c>
      <c r="F39" s="118" t="s">
        <v>180</v>
      </c>
      <c r="G39" s="118" t="s">
        <v>104</v>
      </c>
      <c r="H39" s="102"/>
      <c r="I39" s="103"/>
      <c r="J39" s="190"/>
      <c r="K39" s="190"/>
      <c r="L39" s="190"/>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row>
    <row r="40" spans="1:53" s="118" customFormat="1" ht="54.75">
      <c r="A40" s="237" t="b">
        <v>0</v>
      </c>
      <c r="B40" s="114" t="s">
        <v>181</v>
      </c>
      <c r="C40" s="197" t="s">
        <v>182</v>
      </c>
      <c r="D40" s="115" t="s">
        <v>183</v>
      </c>
      <c r="E40" s="114" t="s">
        <v>184</v>
      </c>
      <c r="F40" s="118" t="s">
        <v>185</v>
      </c>
      <c r="G40" s="118" t="s">
        <v>104</v>
      </c>
      <c r="H40" s="102"/>
      <c r="I40" s="103"/>
      <c r="J40" s="190"/>
      <c r="K40" s="190"/>
      <c r="L40" s="190"/>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row>
    <row r="41" spans="1:53" s="118" customFormat="1" ht="68.25">
      <c r="A41" s="237" t="b">
        <v>0</v>
      </c>
      <c r="B41" s="114" t="s">
        <v>186</v>
      </c>
      <c r="C41" s="197" t="s">
        <v>187</v>
      </c>
      <c r="D41" s="115" t="s">
        <v>188</v>
      </c>
      <c r="E41" s="114" t="s">
        <v>189</v>
      </c>
      <c r="F41" s="118" t="s">
        <v>190</v>
      </c>
      <c r="H41" s="102"/>
      <c r="I41" s="103"/>
      <c r="J41" s="190"/>
      <c r="K41" s="190"/>
      <c r="L41" s="190"/>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row>
    <row r="42" spans="1:53" s="118" customFormat="1" ht="68.25">
      <c r="A42" s="237" t="b">
        <v>0</v>
      </c>
      <c r="B42" s="114" t="s">
        <v>191</v>
      </c>
      <c r="C42" s="197" t="s">
        <v>192</v>
      </c>
      <c r="D42" s="115" t="s">
        <v>193</v>
      </c>
      <c r="E42" s="114" t="s">
        <v>194</v>
      </c>
      <c r="F42" s="149" t="s">
        <v>195</v>
      </c>
      <c r="G42" s="128">
        <v>45946</v>
      </c>
      <c r="H42" s="102"/>
      <c r="I42" s="187">
        <v>46122</v>
      </c>
      <c r="J42" s="190">
        <f>EDATE(I42,1)</f>
        <v>46152</v>
      </c>
      <c r="K42" s="190">
        <f>EDATE(I42,3)</f>
        <v>46213</v>
      </c>
      <c r="L42" s="190">
        <f>EDATE(I42,6)</f>
        <v>46305</v>
      </c>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row>
    <row r="43" spans="1:53" s="102" customFormat="1" ht="93" customHeight="1">
      <c r="A43" s="236" t="b">
        <v>0</v>
      </c>
      <c r="B43" s="280" t="s">
        <v>196</v>
      </c>
      <c r="C43" s="195" t="s">
        <v>197</v>
      </c>
      <c r="D43" s="99" t="s">
        <v>198</v>
      </c>
      <c r="E43" s="98" t="s">
        <v>199</v>
      </c>
      <c r="F43" s="129" t="s">
        <v>200</v>
      </c>
      <c r="G43" s="130"/>
      <c r="I43" s="187">
        <v>46008</v>
      </c>
      <c r="J43" s="190">
        <f>EDATE(I43,1)</f>
        <v>46039</v>
      </c>
      <c r="K43" s="190">
        <f>EDATE(I43,3)</f>
        <v>46098</v>
      </c>
      <c r="L43" s="190">
        <f>EDATE(I43,6)</f>
        <v>46190</v>
      </c>
    </row>
    <row r="44" spans="1:53" s="102" customFormat="1" ht="93" customHeight="1">
      <c r="A44" s="236" t="b">
        <v>0</v>
      </c>
      <c r="B44" s="280"/>
      <c r="C44" s="196" t="s">
        <v>201</v>
      </c>
      <c r="D44" s="104" t="s">
        <v>198</v>
      </c>
      <c r="E44" s="103" t="s">
        <v>199</v>
      </c>
      <c r="F44" s="112"/>
      <c r="G44" s="130"/>
      <c r="I44" s="187"/>
      <c r="J44" s="190"/>
      <c r="K44" s="190"/>
      <c r="L44" s="190"/>
    </row>
    <row r="45" spans="1:53" ht="54.75">
      <c r="A45" s="225" t="b">
        <v>0</v>
      </c>
      <c r="B45" s="131" t="s">
        <v>202</v>
      </c>
      <c r="C45" s="200" t="s">
        <v>203</v>
      </c>
      <c r="D45" s="132" t="s">
        <v>204</v>
      </c>
      <c r="E45" s="131" t="s">
        <v>205</v>
      </c>
      <c r="F45" s="121" t="s">
        <v>206</v>
      </c>
      <c r="G45" s="133" t="s">
        <v>207</v>
      </c>
      <c r="I45" s="103"/>
      <c r="J45" s="190"/>
      <c r="K45" s="190"/>
      <c r="L45" s="190"/>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row>
    <row r="46" spans="1:53" ht="138.75" customHeight="1">
      <c r="A46" s="225" t="b">
        <v>0</v>
      </c>
      <c r="B46" s="98" t="s">
        <v>208</v>
      </c>
      <c r="C46" s="195" t="s">
        <v>209</v>
      </c>
      <c r="D46" s="99" t="s">
        <v>210</v>
      </c>
      <c r="E46" s="105" t="s">
        <v>211</v>
      </c>
      <c r="F46" s="100" t="s">
        <v>212</v>
      </c>
      <c r="G46" s="117" t="s">
        <v>15</v>
      </c>
      <c r="I46" s="187">
        <v>45903</v>
      </c>
      <c r="J46" s="190">
        <f>EDATE(I46,1)</f>
        <v>45933</v>
      </c>
      <c r="K46" s="190">
        <f>EDATE(I46,3)</f>
        <v>45994</v>
      </c>
      <c r="L46" s="190">
        <f>EDATE(I46,6)</f>
        <v>46084</v>
      </c>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row>
    <row r="47" spans="1:53" ht="54.75">
      <c r="A47" s="225" t="b">
        <v>1</v>
      </c>
      <c r="B47" s="131" t="s">
        <v>213</v>
      </c>
      <c r="C47" s="200" t="s">
        <v>214</v>
      </c>
      <c r="D47" s="132" t="s">
        <v>215</v>
      </c>
      <c r="E47" s="131" t="s">
        <v>216</v>
      </c>
      <c r="F47" s="121"/>
      <c r="G47" s="107" t="s">
        <v>217</v>
      </c>
      <c r="I47" s="103"/>
      <c r="J47" s="190"/>
      <c r="K47" s="190"/>
      <c r="L47" s="190"/>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row>
    <row r="48" spans="1:53" ht="41.25">
      <c r="A48" s="225" t="b">
        <v>0</v>
      </c>
      <c r="B48" s="98" t="s">
        <v>218</v>
      </c>
      <c r="C48" s="195" t="s">
        <v>219</v>
      </c>
      <c r="D48" s="99" t="s">
        <v>220</v>
      </c>
      <c r="E48" s="98" t="s">
        <v>221</v>
      </c>
      <c r="F48" s="100" t="s">
        <v>222</v>
      </c>
      <c r="G48" s="107" t="s">
        <v>15</v>
      </c>
      <c r="I48" s="187">
        <v>45903</v>
      </c>
      <c r="J48" s="190">
        <f>EDATE(I48,1)</f>
        <v>45933</v>
      </c>
      <c r="K48" s="190">
        <f>EDATE(I48,3)</f>
        <v>45994</v>
      </c>
      <c r="L48" s="190">
        <f>EDATE(I48,6)</f>
        <v>46084</v>
      </c>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row>
    <row r="49" spans="1:53" ht="77.25" customHeight="1">
      <c r="A49" s="225" t="b">
        <v>0</v>
      </c>
      <c r="B49" s="279" t="s">
        <v>223</v>
      </c>
      <c r="C49" s="194" t="s">
        <v>224</v>
      </c>
      <c r="D49" s="269" t="s">
        <v>225</v>
      </c>
      <c r="E49" s="269" t="s">
        <v>226</v>
      </c>
      <c r="F49" s="108" t="s">
        <v>227</v>
      </c>
      <c r="I49" s="103"/>
      <c r="J49" s="190"/>
      <c r="K49" s="190"/>
      <c r="L49" s="190"/>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row>
    <row r="50" spans="1:53" ht="59.25" customHeight="1">
      <c r="A50" s="225" t="b">
        <v>0</v>
      </c>
      <c r="B50" s="279"/>
      <c r="C50" s="194" t="s">
        <v>228</v>
      </c>
      <c r="D50" s="269"/>
      <c r="E50" s="269"/>
      <c r="I50" s="103"/>
      <c r="J50" s="190"/>
      <c r="K50" s="190"/>
      <c r="L50" s="190"/>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row>
    <row r="51" spans="1:53" ht="54.75">
      <c r="A51" s="225" t="b">
        <v>0</v>
      </c>
      <c r="B51" s="98" t="s">
        <v>229</v>
      </c>
      <c r="C51" s="195" t="s">
        <v>230</v>
      </c>
      <c r="D51" s="99" t="s">
        <v>231</v>
      </c>
      <c r="E51" s="98" t="s">
        <v>232</v>
      </c>
      <c r="F51" s="100" t="s">
        <v>233</v>
      </c>
      <c r="G51" s="107" t="s">
        <v>15</v>
      </c>
      <c r="I51" s="187">
        <v>45903</v>
      </c>
      <c r="J51" s="190">
        <f>EDATE(I51,1)</f>
        <v>45933</v>
      </c>
      <c r="K51" s="190">
        <f>EDATE(I51,3)</f>
        <v>45994</v>
      </c>
      <c r="L51" s="190">
        <f>EDATE(I51,6)</f>
        <v>46084</v>
      </c>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row>
    <row r="52" spans="1:53" s="102" customFormat="1" ht="110.25">
      <c r="A52" s="236" t="b">
        <v>0</v>
      </c>
      <c r="B52" s="103" t="s">
        <v>234</v>
      </c>
      <c r="C52" s="196" t="s">
        <v>235</v>
      </c>
      <c r="D52" s="104" t="s">
        <v>236</v>
      </c>
      <c r="E52" s="103" t="s">
        <v>237</v>
      </c>
      <c r="F52" s="102" t="s">
        <v>238</v>
      </c>
      <c r="G52" s="102" t="s">
        <v>239</v>
      </c>
      <c r="I52" s="187">
        <v>46020</v>
      </c>
      <c r="J52" s="190">
        <f>EDATE(I52,1)</f>
        <v>46051</v>
      </c>
      <c r="K52" s="190">
        <f>EDATE(I52,3)</f>
        <v>46110</v>
      </c>
      <c r="L52" s="190">
        <f>EDATE(I52,6)</f>
        <v>46202</v>
      </c>
    </row>
    <row r="53" spans="1:53" s="102" customFormat="1" ht="192.75">
      <c r="A53" s="236" t="b">
        <v>0</v>
      </c>
      <c r="B53" s="103" t="s">
        <v>240</v>
      </c>
      <c r="C53" s="196" t="s">
        <v>241</v>
      </c>
      <c r="D53" s="104" t="s">
        <v>242</v>
      </c>
      <c r="E53" s="103" t="s">
        <v>243</v>
      </c>
      <c r="I53" s="103"/>
      <c r="J53" s="190"/>
      <c r="K53" s="190"/>
      <c r="L53" s="190"/>
    </row>
    <row r="54" spans="1:53" s="127" customFormat="1" ht="68.25">
      <c r="A54" s="238" t="b">
        <v>0</v>
      </c>
      <c r="B54" s="125" t="s">
        <v>244</v>
      </c>
      <c r="C54" s="201" t="s">
        <v>245</v>
      </c>
      <c r="D54" s="126" t="s">
        <v>246</v>
      </c>
      <c r="E54" s="125" t="s">
        <v>247</v>
      </c>
      <c r="I54" s="103"/>
      <c r="J54" s="190"/>
      <c r="K54" s="190"/>
      <c r="L54" s="190"/>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row>
    <row r="55" spans="1:53" s="127" customFormat="1" ht="303">
      <c r="A55" s="238" t="b">
        <v>0</v>
      </c>
      <c r="B55" s="125" t="s">
        <v>248</v>
      </c>
      <c r="C55" s="201" t="s">
        <v>249</v>
      </c>
      <c r="D55" s="126" t="s">
        <v>250</v>
      </c>
      <c r="E55" s="125" t="s">
        <v>251</v>
      </c>
      <c r="G55" s="127" t="s">
        <v>252</v>
      </c>
      <c r="I55" s="103"/>
      <c r="J55" s="190"/>
      <c r="K55" s="190"/>
      <c r="L55" s="190"/>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row>
    <row r="56" spans="1:53" ht="41.25">
      <c r="A56" s="225" t="b">
        <v>0</v>
      </c>
      <c r="B56" s="98" t="s">
        <v>253</v>
      </c>
      <c r="C56" s="195" t="s">
        <v>254</v>
      </c>
      <c r="D56" s="99" t="s">
        <v>255</v>
      </c>
      <c r="E56" s="98" t="s">
        <v>256</v>
      </c>
      <c r="F56" s="100" t="s">
        <v>257</v>
      </c>
      <c r="G56" s="117" t="s">
        <v>15</v>
      </c>
      <c r="I56" s="187">
        <v>45833</v>
      </c>
      <c r="J56" s="190">
        <f>EDATE(I56,1)</f>
        <v>45863</v>
      </c>
      <c r="K56" s="190">
        <f>EDATE(I56,3)</f>
        <v>45925</v>
      </c>
      <c r="L56" s="190">
        <f>EDATE(I56,6)</f>
        <v>46016</v>
      </c>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row>
    <row r="57" spans="1:53" ht="54.75">
      <c r="A57" s="225" t="b">
        <v>0</v>
      </c>
      <c r="B57" s="98" t="s">
        <v>258</v>
      </c>
      <c r="C57" s="195" t="s">
        <v>259</v>
      </c>
      <c r="D57" s="99" t="s">
        <v>260</v>
      </c>
      <c r="E57" s="98" t="s">
        <v>261</v>
      </c>
      <c r="F57" s="100" t="s">
        <v>139</v>
      </c>
      <c r="G57" s="107" t="s">
        <v>262</v>
      </c>
      <c r="I57" s="103"/>
      <c r="J57" s="190"/>
      <c r="K57" s="190"/>
      <c r="L57" s="190"/>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row>
    <row r="58" spans="1:53" ht="27.75">
      <c r="A58" s="225" t="b">
        <v>0</v>
      </c>
      <c r="B58" s="96" t="s">
        <v>263</v>
      </c>
      <c r="C58" s="194" t="s">
        <v>264</v>
      </c>
      <c r="D58" s="97" t="s">
        <v>265</v>
      </c>
      <c r="E58" s="96" t="s">
        <v>266</v>
      </c>
      <c r="I58" s="103"/>
      <c r="J58" s="190"/>
      <c r="K58" s="190"/>
      <c r="L58" s="190"/>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row>
    <row r="59" spans="1:53" s="118" customFormat="1" ht="68.25">
      <c r="A59" s="237" t="b">
        <v>0</v>
      </c>
      <c r="B59" s="114" t="s">
        <v>267</v>
      </c>
      <c r="C59" s="197" t="s">
        <v>268</v>
      </c>
      <c r="D59" s="115" t="s">
        <v>269</v>
      </c>
      <c r="E59" s="114" t="s">
        <v>270</v>
      </c>
      <c r="F59" s="118" t="s">
        <v>271</v>
      </c>
      <c r="G59" s="128">
        <v>45957</v>
      </c>
      <c r="I59" s="103"/>
      <c r="J59" s="190"/>
      <c r="K59" s="190"/>
      <c r="L59" s="190"/>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row>
    <row r="60" spans="1:53" ht="41.25">
      <c r="A60" s="225" t="b">
        <v>0</v>
      </c>
      <c r="B60" s="98" t="s">
        <v>272</v>
      </c>
      <c r="C60" s="195" t="s">
        <v>273</v>
      </c>
      <c r="D60" s="99" t="s">
        <v>274</v>
      </c>
      <c r="E60" s="98" t="s">
        <v>275</v>
      </c>
      <c r="F60" s="100" t="s">
        <v>276</v>
      </c>
      <c r="G60" s="107" t="s">
        <v>15</v>
      </c>
      <c r="I60" s="187">
        <v>45912</v>
      </c>
      <c r="J60" s="190">
        <f>EDATE(I60,1)</f>
        <v>45942</v>
      </c>
      <c r="K60" s="190">
        <f>EDATE(I60,3)</f>
        <v>46003</v>
      </c>
      <c r="L60" s="190">
        <f>EDATE(I60,6)</f>
        <v>46093</v>
      </c>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row>
    <row r="61" spans="1:53" s="127" customFormat="1" ht="41.25">
      <c r="A61" s="238" t="b">
        <v>0</v>
      </c>
      <c r="B61" s="125" t="s">
        <v>277</v>
      </c>
      <c r="C61" s="201" t="s">
        <v>278</v>
      </c>
      <c r="D61" s="126" t="s">
        <v>279</v>
      </c>
      <c r="E61" s="125" t="s">
        <v>280</v>
      </c>
      <c r="F61" s="127" t="s">
        <v>281</v>
      </c>
      <c r="G61" s="127" t="s">
        <v>282</v>
      </c>
      <c r="H61" s="127" t="s">
        <v>283</v>
      </c>
      <c r="I61" s="103"/>
      <c r="J61" s="190"/>
      <c r="K61" s="190"/>
      <c r="L61" s="190"/>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row>
    <row r="62" spans="1:53" s="127" customFormat="1" ht="54.75">
      <c r="A62" s="238" t="b">
        <v>0</v>
      </c>
      <c r="B62" s="125" t="s">
        <v>284</v>
      </c>
      <c r="C62" s="201" t="s">
        <v>285</v>
      </c>
      <c r="D62" s="126" t="s">
        <v>286</v>
      </c>
      <c r="E62" s="125"/>
      <c r="F62" s="127" t="s">
        <v>287</v>
      </c>
      <c r="I62" s="103"/>
      <c r="J62" s="190"/>
      <c r="K62" s="190"/>
      <c r="L62" s="190"/>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row>
    <row r="63" spans="1:53" s="138" customFormat="1" ht="27.75">
      <c r="A63" s="239" t="b">
        <v>0</v>
      </c>
      <c r="B63" s="134" t="s">
        <v>288</v>
      </c>
      <c r="C63" s="202" t="s">
        <v>289</v>
      </c>
      <c r="D63" s="135" t="s">
        <v>290</v>
      </c>
      <c r="E63" s="134" t="s">
        <v>291</v>
      </c>
      <c r="F63" s="136" t="s">
        <v>292</v>
      </c>
      <c r="G63" s="137"/>
      <c r="I63" s="103"/>
      <c r="J63" s="190"/>
      <c r="K63" s="190"/>
      <c r="L63" s="190"/>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row>
    <row r="64" spans="1:53" s="129" customFormat="1" ht="27.75">
      <c r="A64" s="240" t="b">
        <v>0</v>
      </c>
      <c r="B64" s="105" t="s">
        <v>293</v>
      </c>
      <c r="C64" s="198" t="s">
        <v>294</v>
      </c>
      <c r="D64" s="119" t="s">
        <v>295</v>
      </c>
      <c r="E64" s="105" t="s">
        <v>296</v>
      </c>
      <c r="F64" s="139" t="s">
        <v>297</v>
      </c>
      <c r="G64" s="140" t="s">
        <v>298</v>
      </c>
      <c r="I64" s="248">
        <v>45980</v>
      </c>
      <c r="J64" s="190">
        <f>EDATE(I64,1)</f>
        <v>46010</v>
      </c>
      <c r="K64" s="190">
        <f>EDATE(I64,3)</f>
        <v>46072</v>
      </c>
      <c r="L64" s="190">
        <f>EDATE(I64,6)</f>
        <v>46161</v>
      </c>
      <c r="M64" s="112"/>
      <c r="N64" s="112"/>
      <c r="O64" s="112"/>
      <c r="P64" s="112"/>
      <c r="Q64" s="112"/>
      <c r="R64" s="112"/>
      <c r="S64" s="112"/>
      <c r="T64" s="112"/>
      <c r="U64" s="112"/>
      <c r="V64" s="112"/>
      <c r="W64" s="112"/>
      <c r="X64" s="112"/>
      <c r="Y64" s="112"/>
      <c r="Z64" s="112"/>
      <c r="AA64" s="112"/>
      <c r="AB64" s="112"/>
      <c r="AC64" s="112"/>
      <c r="AD64" s="112"/>
      <c r="AE64" s="112"/>
      <c r="AF64" s="112"/>
      <c r="AG64" s="112"/>
      <c r="AH64" s="112"/>
      <c r="AI64" s="112"/>
      <c r="AJ64" s="112"/>
      <c r="AK64" s="112"/>
      <c r="AL64" s="112"/>
      <c r="AM64" s="112"/>
      <c r="AN64" s="112"/>
      <c r="AO64" s="112"/>
      <c r="AP64" s="112"/>
      <c r="AQ64" s="112"/>
      <c r="AR64" s="112"/>
      <c r="AS64" s="112"/>
      <c r="AT64" s="112"/>
      <c r="AU64" s="112"/>
      <c r="AV64" s="112"/>
      <c r="AW64" s="112"/>
      <c r="AX64" s="112"/>
      <c r="AY64" s="112"/>
      <c r="AZ64" s="112"/>
      <c r="BA64" s="112"/>
    </row>
    <row r="65" spans="1:53" s="129" customFormat="1" ht="27.75">
      <c r="A65" s="240" t="b">
        <v>0</v>
      </c>
      <c r="B65" s="105" t="s">
        <v>299</v>
      </c>
      <c r="C65" s="198" t="s">
        <v>300</v>
      </c>
      <c r="D65" s="119" t="s">
        <v>301</v>
      </c>
      <c r="E65" s="105" t="s">
        <v>302</v>
      </c>
      <c r="F65" s="139" t="s">
        <v>303</v>
      </c>
      <c r="G65" s="140" t="s">
        <v>298</v>
      </c>
      <c r="I65" s="248">
        <v>45959</v>
      </c>
      <c r="J65" s="190">
        <f>EDATE(I65,1)</f>
        <v>45990</v>
      </c>
      <c r="K65" s="190">
        <f>EDATE(I65,3)</f>
        <v>46051</v>
      </c>
      <c r="L65" s="190">
        <f>EDATE(I65,6)</f>
        <v>46141</v>
      </c>
      <c r="M65" s="112"/>
      <c r="N65" s="112"/>
      <c r="O65" s="112"/>
      <c r="P65" s="112"/>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2"/>
      <c r="AO65" s="112"/>
      <c r="AP65" s="112"/>
      <c r="AQ65" s="112"/>
      <c r="AR65" s="112"/>
      <c r="AS65" s="112"/>
      <c r="AT65" s="112"/>
      <c r="AU65" s="112"/>
      <c r="AV65" s="112"/>
      <c r="AW65" s="112"/>
      <c r="AX65" s="112"/>
      <c r="AY65" s="112"/>
      <c r="AZ65" s="112"/>
      <c r="BA65" s="112"/>
    </row>
    <row r="66" spans="1:53" s="138" customFormat="1" ht="41.25">
      <c r="A66" s="239" t="b">
        <v>0</v>
      </c>
      <c r="B66" s="134" t="s">
        <v>304</v>
      </c>
      <c r="C66" s="202" t="s">
        <v>305</v>
      </c>
      <c r="D66" s="141" t="s">
        <v>306</v>
      </c>
      <c r="E66" s="134" t="s">
        <v>307</v>
      </c>
      <c r="F66" s="142" t="s">
        <v>308</v>
      </c>
      <c r="I66" s="103"/>
      <c r="J66" s="190"/>
      <c r="K66" s="190"/>
      <c r="L66" s="190"/>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row>
    <row r="67" spans="1:53" s="102" customFormat="1" ht="96.75">
      <c r="A67" s="236" t="b">
        <v>0</v>
      </c>
      <c r="B67" s="103" t="s">
        <v>309</v>
      </c>
      <c r="C67" s="196" t="s">
        <v>310</v>
      </c>
      <c r="D67" s="104" t="s">
        <v>311</v>
      </c>
      <c r="E67" s="103" t="s">
        <v>312</v>
      </c>
      <c r="F67" s="143" t="s">
        <v>313</v>
      </c>
      <c r="G67" s="130">
        <v>46013</v>
      </c>
      <c r="I67" s="187"/>
      <c r="J67" s="190"/>
      <c r="K67" s="190"/>
      <c r="L67" s="190"/>
    </row>
    <row r="68" spans="1:53" s="148" customFormat="1" ht="54.75">
      <c r="A68" s="241" t="b">
        <v>0</v>
      </c>
      <c r="B68" s="144" t="s">
        <v>314</v>
      </c>
      <c r="C68" s="203" t="s">
        <v>315</v>
      </c>
      <c r="D68" s="145" t="s">
        <v>316</v>
      </c>
      <c r="E68" s="144" t="s">
        <v>317</v>
      </c>
      <c r="F68" s="146"/>
      <c r="G68" s="147"/>
      <c r="I68" s="249"/>
      <c r="J68" s="250"/>
      <c r="K68" s="250"/>
      <c r="L68" s="250"/>
      <c r="M68" s="251"/>
      <c r="N68" s="251"/>
      <c r="O68" s="251"/>
      <c r="P68" s="251"/>
      <c r="Q68" s="251"/>
      <c r="R68" s="251"/>
      <c r="S68" s="251"/>
      <c r="T68" s="251"/>
      <c r="U68" s="251"/>
      <c r="V68" s="251"/>
      <c r="W68" s="251"/>
      <c r="X68" s="251"/>
      <c r="Y68" s="251"/>
      <c r="Z68" s="251"/>
      <c r="AA68" s="251"/>
      <c r="AB68" s="251"/>
      <c r="AC68" s="251"/>
      <c r="AD68" s="251"/>
      <c r="AE68" s="251"/>
      <c r="AF68" s="251"/>
      <c r="AG68" s="251"/>
      <c r="AH68" s="251"/>
      <c r="AI68" s="251"/>
      <c r="AJ68" s="251"/>
      <c r="AK68" s="251"/>
      <c r="AL68" s="251"/>
      <c r="AM68" s="251"/>
      <c r="AN68" s="251"/>
      <c r="AO68" s="251"/>
      <c r="AP68" s="251"/>
      <c r="AQ68" s="251"/>
      <c r="AR68" s="251"/>
      <c r="AS68" s="251"/>
      <c r="AT68" s="251"/>
      <c r="AU68" s="251"/>
      <c r="AV68" s="251"/>
      <c r="AW68" s="251"/>
      <c r="AX68" s="251"/>
      <c r="AY68" s="251"/>
      <c r="AZ68" s="251"/>
      <c r="BA68" s="251"/>
    </row>
    <row r="69" spans="1:53" s="118" customFormat="1" ht="54.75">
      <c r="A69" s="237" t="b">
        <v>0</v>
      </c>
      <c r="B69" s="116" t="s">
        <v>318</v>
      </c>
      <c r="C69" s="197" t="s">
        <v>319</v>
      </c>
      <c r="D69" s="115" t="s">
        <v>320</v>
      </c>
      <c r="E69" s="114" t="s">
        <v>321</v>
      </c>
      <c r="F69" s="149" t="s">
        <v>322</v>
      </c>
      <c r="G69" s="128"/>
      <c r="I69" s="103"/>
      <c r="J69" s="190"/>
      <c r="K69" s="190"/>
      <c r="L69" s="190"/>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row>
    <row r="70" spans="1:53" s="153" customFormat="1" ht="68.25">
      <c r="A70" s="242" t="b">
        <v>0</v>
      </c>
      <c r="B70" s="150" t="s">
        <v>323</v>
      </c>
      <c r="C70" s="204" t="s">
        <v>324</v>
      </c>
      <c r="D70" s="151" t="s">
        <v>325</v>
      </c>
      <c r="E70" s="150" t="s">
        <v>326</v>
      </c>
      <c r="F70" s="152" t="s">
        <v>327</v>
      </c>
      <c r="I70" s="187">
        <v>45968</v>
      </c>
      <c r="J70" s="190">
        <f>EDATE(I70,1)</f>
        <v>45998</v>
      </c>
      <c r="K70" s="190">
        <f>EDATE(I70,3)</f>
        <v>46060</v>
      </c>
      <c r="L70" s="190">
        <f>EDATE(I70,6)</f>
        <v>46149</v>
      </c>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c r="AK70" s="102"/>
      <c r="AL70" s="102"/>
      <c r="AM70" s="102"/>
      <c r="AN70" s="102"/>
      <c r="AO70" s="102"/>
      <c r="AP70" s="102"/>
      <c r="AQ70" s="102"/>
      <c r="AR70" s="102"/>
      <c r="AS70" s="102"/>
      <c r="AT70" s="102"/>
      <c r="AU70" s="102"/>
      <c r="AV70" s="102"/>
      <c r="AW70" s="102"/>
      <c r="AX70" s="102"/>
      <c r="AY70" s="102"/>
      <c r="AZ70" s="102"/>
      <c r="BA70" s="102"/>
    </row>
    <row r="71" spans="1:53" s="127" customFormat="1" ht="41.25">
      <c r="A71" s="238" t="b">
        <v>0</v>
      </c>
      <c r="B71" s="125" t="s">
        <v>328</v>
      </c>
      <c r="C71" s="201" t="s">
        <v>329</v>
      </c>
      <c r="D71" s="126" t="s">
        <v>330</v>
      </c>
      <c r="E71" s="125" t="s">
        <v>331</v>
      </c>
      <c r="F71" s="154"/>
      <c r="I71" s="103"/>
      <c r="J71" s="190"/>
      <c r="K71" s="190"/>
      <c r="L71" s="190"/>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row>
    <row r="72" spans="1:53" s="100" customFormat="1" ht="41.25">
      <c r="A72" s="243" t="b">
        <v>0</v>
      </c>
      <c r="B72" s="98" t="s">
        <v>332</v>
      </c>
      <c r="C72" s="195" t="s">
        <v>333</v>
      </c>
      <c r="D72" s="99" t="s">
        <v>334</v>
      </c>
      <c r="E72" s="98" t="s">
        <v>335</v>
      </c>
      <c r="F72" s="155" t="s">
        <v>336</v>
      </c>
      <c r="G72" s="156" t="s">
        <v>298</v>
      </c>
      <c r="I72" s="103"/>
      <c r="J72" s="190"/>
      <c r="K72" s="190"/>
      <c r="L72" s="190"/>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2"/>
      <c r="AJ72" s="102"/>
      <c r="AK72" s="102"/>
      <c r="AL72" s="102"/>
      <c r="AM72" s="102"/>
      <c r="AN72" s="102"/>
      <c r="AO72" s="102"/>
      <c r="AP72" s="102"/>
      <c r="AQ72" s="102"/>
      <c r="AR72" s="102"/>
      <c r="AS72" s="102"/>
      <c r="AT72" s="102"/>
      <c r="AU72" s="102"/>
      <c r="AV72" s="102"/>
      <c r="AW72" s="102"/>
      <c r="AX72" s="102"/>
      <c r="AY72" s="102"/>
      <c r="AZ72" s="102"/>
      <c r="BA72" s="102"/>
    </row>
    <row r="73" spans="1:53" s="153" customFormat="1" ht="83.25">
      <c r="A73" s="242" t="b">
        <v>0</v>
      </c>
      <c r="B73" s="150" t="s">
        <v>337</v>
      </c>
      <c r="C73" s="204" t="s">
        <v>338</v>
      </c>
      <c r="D73" s="151" t="s">
        <v>339</v>
      </c>
      <c r="E73" s="150" t="s">
        <v>340</v>
      </c>
      <c r="F73" s="153" t="s">
        <v>341</v>
      </c>
      <c r="G73" s="157"/>
      <c r="I73" s="187">
        <v>45994</v>
      </c>
      <c r="J73" s="190">
        <f>EDATE(I73,1)</f>
        <v>46025</v>
      </c>
      <c r="K73" s="190">
        <f>EDATE(I73,3)</f>
        <v>46084</v>
      </c>
      <c r="L73" s="190">
        <f>EDATE(I73,6)</f>
        <v>46176</v>
      </c>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row>
    <row r="74" spans="1:53" s="127" customFormat="1" ht="41.25">
      <c r="A74" s="238" t="b">
        <v>0</v>
      </c>
      <c r="B74" s="127" t="s">
        <v>342</v>
      </c>
      <c r="C74" s="205" t="s">
        <v>343</v>
      </c>
      <c r="D74" s="158" t="s">
        <v>344</v>
      </c>
      <c r="I74" s="103"/>
      <c r="J74" s="190"/>
      <c r="K74" s="190"/>
      <c r="L74" s="190"/>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row>
    <row r="75" spans="1:53" s="118" customFormat="1" ht="372">
      <c r="A75" s="237" t="b">
        <v>0</v>
      </c>
      <c r="B75" s="118" t="s">
        <v>345</v>
      </c>
      <c r="C75" s="206" t="s">
        <v>346</v>
      </c>
      <c r="D75" s="115" t="s">
        <v>347</v>
      </c>
      <c r="E75" s="118" t="s">
        <v>348</v>
      </c>
      <c r="F75" s="118" t="s">
        <v>349</v>
      </c>
      <c r="I75" s="103"/>
      <c r="J75" s="190"/>
      <c r="K75" s="190"/>
      <c r="L75" s="190"/>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row>
    <row r="76" spans="1:53">
      <c r="A76" s="225" t="b">
        <v>0</v>
      </c>
      <c r="I76" s="103"/>
      <c r="J76" s="190"/>
      <c r="K76" s="190"/>
      <c r="L76" s="190"/>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row>
    <row r="77" spans="1:53" ht="13.5">
      <c r="A77" s="225" t="b">
        <v>0</v>
      </c>
      <c r="B77" s="159" t="s">
        <v>350</v>
      </c>
      <c r="I77" s="103"/>
      <c r="J77" s="190"/>
      <c r="K77" s="190"/>
      <c r="L77" s="190"/>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row>
    <row r="78" spans="1:53" s="153" customFormat="1" ht="83.25">
      <c r="A78" s="242" t="b">
        <v>0</v>
      </c>
      <c r="B78" s="153" t="s">
        <v>351</v>
      </c>
      <c r="C78" s="207" t="s">
        <v>352</v>
      </c>
      <c r="D78" s="153" t="s">
        <v>353</v>
      </c>
      <c r="E78" s="153" t="s">
        <v>354</v>
      </c>
      <c r="F78" s="153" t="s">
        <v>355</v>
      </c>
      <c r="I78" s="103"/>
      <c r="J78" s="190"/>
      <c r="K78" s="190"/>
      <c r="L78" s="190"/>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row>
    <row r="79" spans="1:53" s="118" customFormat="1" ht="54.75">
      <c r="A79" s="237" t="b">
        <v>0</v>
      </c>
      <c r="B79" s="118" t="s">
        <v>356</v>
      </c>
      <c r="C79" s="206" t="s">
        <v>357</v>
      </c>
      <c r="D79" s="118" t="s">
        <v>358</v>
      </c>
      <c r="E79" s="118" t="s">
        <v>359</v>
      </c>
      <c r="F79" s="118" t="s">
        <v>360</v>
      </c>
      <c r="I79" s="103"/>
      <c r="J79" s="190"/>
      <c r="K79" s="190"/>
      <c r="L79" s="190"/>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row>
    <row r="80" spans="1:53" ht="41.25">
      <c r="A80" s="225" t="b">
        <v>0</v>
      </c>
      <c r="C80" s="186" t="s">
        <v>361</v>
      </c>
      <c r="D80" s="160" t="s">
        <v>362</v>
      </c>
      <c r="E80" s="108" t="s">
        <v>363</v>
      </c>
      <c r="I80" s="103"/>
      <c r="J80" s="190"/>
      <c r="K80" s="190"/>
      <c r="L80" s="190"/>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row>
    <row r="81" spans="1:53" s="133" customFormat="1" ht="54.75">
      <c r="A81" s="244" t="b">
        <v>0</v>
      </c>
      <c r="B81" s="133" t="s">
        <v>364</v>
      </c>
      <c r="C81" s="208" t="s">
        <v>365</v>
      </c>
      <c r="D81" s="133" t="s">
        <v>366</v>
      </c>
      <c r="E81" s="133" t="s">
        <v>367</v>
      </c>
      <c r="F81" s="133" t="s">
        <v>368</v>
      </c>
      <c r="I81" s="110"/>
      <c r="J81" s="191"/>
      <c r="K81" s="191"/>
      <c r="L81" s="191"/>
      <c r="M81" s="112"/>
      <c r="N81" s="112"/>
      <c r="O81" s="112"/>
      <c r="P81" s="112"/>
      <c r="Q81" s="112"/>
      <c r="R81" s="112"/>
      <c r="S81" s="112"/>
      <c r="T81" s="112"/>
      <c r="U81" s="112"/>
      <c r="V81" s="112"/>
      <c r="W81" s="112"/>
      <c r="X81" s="112"/>
      <c r="Y81" s="112"/>
      <c r="Z81" s="112"/>
      <c r="AA81" s="112"/>
      <c r="AB81" s="112"/>
      <c r="AC81" s="112"/>
      <c r="AD81" s="112"/>
      <c r="AE81" s="112"/>
      <c r="AF81" s="112"/>
      <c r="AG81" s="112"/>
      <c r="AH81" s="112"/>
      <c r="AI81" s="112"/>
      <c r="AJ81" s="112"/>
      <c r="AK81" s="112"/>
      <c r="AL81" s="112"/>
      <c r="AM81" s="112"/>
      <c r="AN81" s="112"/>
      <c r="AO81" s="112"/>
      <c r="AP81" s="112"/>
      <c r="AQ81" s="112"/>
      <c r="AR81" s="112"/>
      <c r="AS81" s="112"/>
      <c r="AT81" s="112"/>
      <c r="AU81" s="112"/>
      <c r="AV81" s="112"/>
      <c r="AW81" s="112"/>
      <c r="AX81" s="112"/>
      <c r="AY81" s="112"/>
      <c r="AZ81" s="112"/>
      <c r="BA81" s="112"/>
    </row>
    <row r="82" spans="1:53" s="133" customFormat="1" ht="68.25">
      <c r="A82" s="244" t="b">
        <v>0</v>
      </c>
      <c r="B82" s="133" t="s">
        <v>369</v>
      </c>
      <c r="C82" s="208" t="s">
        <v>370</v>
      </c>
      <c r="D82" s="133" t="s">
        <v>371</v>
      </c>
      <c r="E82" s="133" t="s">
        <v>372</v>
      </c>
      <c r="F82" s="133" t="s">
        <v>368</v>
      </c>
      <c r="I82" s="110"/>
      <c r="J82" s="191"/>
      <c r="K82" s="191"/>
      <c r="L82" s="191"/>
      <c r="M82" s="112"/>
      <c r="N82" s="112"/>
      <c r="O82" s="112"/>
      <c r="P82" s="112"/>
      <c r="Q82" s="112"/>
      <c r="R82" s="112"/>
      <c r="S82" s="112"/>
      <c r="T82" s="112"/>
      <c r="U82" s="112"/>
      <c r="V82" s="112"/>
      <c r="W82" s="112"/>
      <c r="X82" s="112"/>
      <c r="Y82" s="112"/>
      <c r="Z82" s="112"/>
      <c r="AA82" s="112"/>
      <c r="AB82" s="112"/>
      <c r="AC82" s="112"/>
      <c r="AD82" s="112"/>
      <c r="AE82" s="112"/>
      <c r="AF82" s="112"/>
      <c r="AG82" s="112"/>
      <c r="AH82" s="112"/>
      <c r="AI82" s="112"/>
      <c r="AJ82" s="112"/>
      <c r="AK82" s="112"/>
      <c r="AL82" s="112"/>
      <c r="AM82" s="112"/>
      <c r="AN82" s="112"/>
      <c r="AO82" s="112"/>
      <c r="AP82" s="112"/>
      <c r="AQ82" s="112"/>
      <c r="AR82" s="112"/>
      <c r="AS82" s="112"/>
      <c r="AT82" s="112"/>
      <c r="AU82" s="112"/>
      <c r="AV82" s="112"/>
      <c r="AW82" s="112"/>
      <c r="AX82" s="112"/>
      <c r="AY82" s="112"/>
      <c r="AZ82" s="112"/>
      <c r="BA82" s="112"/>
    </row>
    <row r="83" spans="1:53" s="118" customFormat="1" ht="54.75">
      <c r="A83" s="237" t="b">
        <v>0</v>
      </c>
      <c r="B83" s="118" t="s">
        <v>373</v>
      </c>
      <c r="C83" s="206" t="s">
        <v>374</v>
      </c>
      <c r="D83" s="118" t="s">
        <v>375</v>
      </c>
      <c r="E83" s="118" t="s">
        <v>376</v>
      </c>
      <c r="F83" s="118" t="s">
        <v>377</v>
      </c>
      <c r="G83" s="102"/>
      <c r="I83" s="103"/>
      <c r="J83" s="190"/>
      <c r="K83" s="190"/>
      <c r="L83" s="190"/>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row>
    <row r="84" spans="1:53" s="118" customFormat="1" ht="68.25">
      <c r="A84" s="237" t="b">
        <v>0</v>
      </c>
      <c r="B84" s="118" t="s">
        <v>378</v>
      </c>
      <c r="C84" s="227" t="s">
        <v>379</v>
      </c>
      <c r="D84" s="118" t="s">
        <v>380</v>
      </c>
      <c r="E84" s="114" t="s">
        <v>381</v>
      </c>
      <c r="F84" s="118" t="s">
        <v>382</v>
      </c>
      <c r="G84" s="102"/>
      <c r="I84" s="103"/>
      <c r="J84" s="190"/>
      <c r="K84" s="190"/>
      <c r="L84" s="190"/>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row>
    <row r="85" spans="1:53" ht="54.75">
      <c r="A85" s="225" t="b">
        <v>0</v>
      </c>
      <c r="B85" s="118" t="s">
        <v>383</v>
      </c>
      <c r="C85" s="206" t="s">
        <v>384</v>
      </c>
      <c r="D85" s="118" t="s">
        <v>385</v>
      </c>
      <c r="E85" s="114" t="s">
        <v>386</v>
      </c>
      <c r="F85" s="118" t="s">
        <v>387</v>
      </c>
      <c r="G85" s="102"/>
      <c r="I85" s="103"/>
      <c r="J85" s="190"/>
      <c r="K85" s="190"/>
      <c r="L85" s="190"/>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row>
    <row r="86" spans="1:53" s="153" customFormat="1" ht="54.75">
      <c r="A86" s="242" t="b">
        <v>0</v>
      </c>
      <c r="B86" s="153" t="s">
        <v>388</v>
      </c>
      <c r="C86" s="207" t="s">
        <v>389</v>
      </c>
      <c r="D86" s="153" t="s">
        <v>390</v>
      </c>
      <c r="E86" s="153" t="s">
        <v>391</v>
      </c>
      <c r="F86" s="153" t="s">
        <v>392</v>
      </c>
      <c r="G86" s="153" t="s">
        <v>393</v>
      </c>
      <c r="I86" s="103"/>
      <c r="J86" s="190"/>
      <c r="K86" s="190"/>
      <c r="L86" s="190"/>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row>
    <row r="87" spans="1:53" ht="27.75">
      <c r="A87" s="225" t="b">
        <v>0</v>
      </c>
      <c r="B87" s="118" t="s">
        <v>394</v>
      </c>
      <c r="C87" s="206" t="s">
        <v>395</v>
      </c>
      <c r="D87" s="118" t="s">
        <v>396</v>
      </c>
      <c r="E87" s="118" t="s">
        <v>397</v>
      </c>
      <c r="F87" s="108" t="s">
        <v>398</v>
      </c>
      <c r="G87" s="102"/>
      <c r="I87" s="103"/>
      <c r="J87" s="190"/>
      <c r="K87" s="190"/>
      <c r="L87" s="190"/>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row>
    <row r="88" spans="1:53" ht="54.75">
      <c r="A88" s="225" t="b">
        <v>0</v>
      </c>
      <c r="B88" s="118" t="s">
        <v>399</v>
      </c>
      <c r="C88" s="206" t="s">
        <v>400</v>
      </c>
      <c r="D88" s="118" t="s">
        <v>401</v>
      </c>
      <c r="E88" s="118" t="s">
        <v>402</v>
      </c>
      <c r="F88" s="108" t="s">
        <v>403</v>
      </c>
      <c r="G88" s="102" t="s">
        <v>404</v>
      </c>
      <c r="I88" s="103"/>
      <c r="J88" s="190"/>
      <c r="K88" s="190"/>
      <c r="L88" s="190"/>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row>
    <row r="89" spans="1:53">
      <c r="A89" s="225" t="b">
        <v>0</v>
      </c>
      <c r="F89" s="127"/>
      <c r="G89" s="127"/>
      <c r="I89" s="103"/>
      <c r="J89" s="190"/>
      <c r="K89" s="190"/>
      <c r="L89" s="190"/>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row>
    <row r="90" spans="1:53" ht="54.75">
      <c r="A90" s="225" t="b">
        <v>0</v>
      </c>
      <c r="B90" s="108" t="s">
        <v>405</v>
      </c>
      <c r="C90" s="186" t="s">
        <v>406</v>
      </c>
      <c r="D90" s="108" t="s">
        <v>407</v>
      </c>
      <c r="E90" s="108" t="s">
        <v>408</v>
      </c>
      <c r="F90" s="108" t="s">
        <v>409</v>
      </c>
      <c r="I90" s="103"/>
      <c r="J90" s="190"/>
      <c r="K90" s="190"/>
      <c r="L90" s="190"/>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row>
    <row r="91" spans="1:53" s="118" customFormat="1" ht="165">
      <c r="A91" s="237" t="b">
        <v>0</v>
      </c>
      <c r="B91" s="118" t="s">
        <v>410</v>
      </c>
      <c r="C91" s="206" t="s">
        <v>411</v>
      </c>
      <c r="D91" s="161" t="s">
        <v>412</v>
      </c>
      <c r="E91" s="118" t="s">
        <v>413</v>
      </c>
      <c r="F91" s="118" t="s">
        <v>414</v>
      </c>
      <c r="I91" s="103"/>
      <c r="J91" s="190"/>
      <c r="K91" s="190"/>
      <c r="L91" s="190"/>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row>
    <row r="92" spans="1:53" s="102" customFormat="1" ht="96.75">
      <c r="A92" s="236" t="b">
        <v>0</v>
      </c>
      <c r="B92" s="100" t="s">
        <v>415</v>
      </c>
      <c r="C92" s="209" t="s">
        <v>416</v>
      </c>
      <c r="D92" s="100" t="s">
        <v>417</v>
      </c>
      <c r="E92" s="100" t="s">
        <v>418</v>
      </c>
      <c r="F92" s="100" t="s">
        <v>419</v>
      </c>
      <c r="I92" s="187">
        <v>46029</v>
      </c>
      <c r="J92" s="190">
        <f>EDATE(I92,1)</f>
        <v>46060</v>
      </c>
      <c r="K92" s="190">
        <f>EDATE(I92,3)</f>
        <v>46119</v>
      </c>
      <c r="L92" s="190">
        <f>EDATE(I92,6)</f>
        <v>46210</v>
      </c>
    </row>
    <row r="93" spans="1:53" s="153" customFormat="1" ht="41.25">
      <c r="A93" s="242" t="b">
        <v>0</v>
      </c>
      <c r="B93" s="151" t="s">
        <v>420</v>
      </c>
      <c r="C93" s="210" t="s">
        <v>421</v>
      </c>
      <c r="D93" s="151" t="s">
        <v>422</v>
      </c>
      <c r="E93" s="151" t="s">
        <v>423</v>
      </c>
      <c r="F93" s="153" t="s">
        <v>424</v>
      </c>
      <c r="I93" s="103"/>
      <c r="J93" s="190"/>
      <c r="K93" s="190"/>
      <c r="L93" s="190"/>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row>
    <row r="94" spans="1:53" s="118" customFormat="1" ht="124.5">
      <c r="A94" s="237" t="b">
        <v>0</v>
      </c>
      <c r="B94" s="115" t="s">
        <v>425</v>
      </c>
      <c r="C94" s="211" t="s">
        <v>426</v>
      </c>
      <c r="D94" s="115" t="s">
        <v>427</v>
      </c>
      <c r="E94" s="115" t="s">
        <v>428</v>
      </c>
      <c r="F94" s="118" t="s">
        <v>429</v>
      </c>
      <c r="I94" s="187">
        <v>46108</v>
      </c>
      <c r="J94" s="190">
        <f>EDATE(I94,1)</f>
        <v>46139</v>
      </c>
      <c r="K94" s="190">
        <f>EDATE(I94,3)</f>
        <v>46200</v>
      </c>
      <c r="L94" s="190">
        <f>EDATE(I94,6)</f>
        <v>46292</v>
      </c>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row>
    <row r="95" spans="1:53" s="118" customFormat="1" ht="41.25">
      <c r="A95" s="237" t="b">
        <v>0</v>
      </c>
      <c r="B95" s="118" t="s">
        <v>430</v>
      </c>
      <c r="C95" s="206" t="s">
        <v>431</v>
      </c>
      <c r="D95" s="118" t="s">
        <v>432</v>
      </c>
      <c r="E95" s="118" t="s">
        <v>433</v>
      </c>
      <c r="I95" s="103"/>
      <c r="J95" s="190"/>
      <c r="K95" s="190"/>
      <c r="L95" s="190"/>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02"/>
      <c r="AJ95" s="102"/>
      <c r="AK95" s="102"/>
      <c r="AL95" s="102"/>
      <c r="AM95" s="102"/>
      <c r="AN95" s="102"/>
      <c r="AO95" s="102"/>
      <c r="AP95" s="102"/>
      <c r="AQ95" s="102"/>
      <c r="AR95" s="102"/>
      <c r="AS95" s="102"/>
      <c r="AT95" s="102"/>
      <c r="AU95" s="102"/>
      <c r="AV95" s="102"/>
      <c r="AW95" s="102"/>
      <c r="AX95" s="102"/>
      <c r="AY95" s="102"/>
      <c r="AZ95" s="102"/>
      <c r="BA95" s="102"/>
    </row>
    <row r="96" spans="1:53" s="118" customFormat="1" ht="110.25">
      <c r="A96" s="237" t="b">
        <v>0</v>
      </c>
      <c r="B96" s="118" t="s">
        <v>434</v>
      </c>
      <c r="C96" s="206" t="s">
        <v>435</v>
      </c>
      <c r="D96" s="118" t="s">
        <v>436</v>
      </c>
      <c r="E96" s="118" t="s">
        <v>437</v>
      </c>
      <c r="F96" s="118" t="s">
        <v>438</v>
      </c>
      <c r="I96" s="187">
        <v>46052</v>
      </c>
      <c r="J96" s="190">
        <f>EDATE(I96,1)</f>
        <v>46081</v>
      </c>
      <c r="K96" s="190">
        <f>EDATE(I96,3)</f>
        <v>46142</v>
      </c>
      <c r="L96" s="190">
        <f>EDATE(I96,6)</f>
        <v>46233</v>
      </c>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row>
    <row r="97" spans="1:53" ht="83.25">
      <c r="A97" s="225" t="b">
        <v>0</v>
      </c>
      <c r="B97" s="100" t="s">
        <v>439</v>
      </c>
      <c r="C97" s="209" t="s">
        <v>440</v>
      </c>
      <c r="D97" s="100" t="s">
        <v>441</v>
      </c>
      <c r="E97" s="98" t="s">
        <v>442</v>
      </c>
      <c r="F97" s="100" t="s">
        <v>443</v>
      </c>
      <c r="I97" s="187">
        <v>46036</v>
      </c>
      <c r="J97" s="190">
        <f t="shared" ref="J97:J98" si="0">EDATE(I97,1)</f>
        <v>46067</v>
      </c>
      <c r="K97" s="190">
        <f t="shared" ref="K97:K98" si="1">EDATE(I97,3)</f>
        <v>46126</v>
      </c>
      <c r="L97" s="190">
        <f t="shared" ref="L97:L98" si="2">EDATE(I97,6)</f>
        <v>46217</v>
      </c>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row>
    <row r="98" spans="1:53" s="102" customFormat="1" ht="27.75">
      <c r="A98" s="236" t="b">
        <v>0</v>
      </c>
      <c r="B98" s="100" t="s">
        <v>444</v>
      </c>
      <c r="C98" s="209" t="s">
        <v>445</v>
      </c>
      <c r="D98" s="100" t="s">
        <v>446</v>
      </c>
      <c r="E98" s="100" t="s">
        <v>447</v>
      </c>
      <c r="F98" s="100" t="s">
        <v>448</v>
      </c>
      <c r="I98" s="187">
        <v>46031</v>
      </c>
      <c r="J98" s="190">
        <f t="shared" si="0"/>
        <v>46062</v>
      </c>
      <c r="K98" s="190">
        <f t="shared" si="1"/>
        <v>46121</v>
      </c>
      <c r="L98" s="190">
        <f t="shared" si="2"/>
        <v>46212</v>
      </c>
    </row>
    <row r="99" spans="1:53" ht="27.75">
      <c r="A99" s="225" t="b">
        <v>0</v>
      </c>
      <c r="B99" s="127" t="s">
        <v>449</v>
      </c>
      <c r="C99" s="205" t="s">
        <v>450</v>
      </c>
      <c r="D99" s="127" t="s">
        <v>451</v>
      </c>
      <c r="E99" s="127" t="s">
        <v>452</v>
      </c>
      <c r="G99" s="102"/>
      <c r="I99" s="103"/>
      <c r="J99" s="190"/>
      <c r="K99" s="190"/>
      <c r="L99" s="190"/>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row>
    <row r="100" spans="1:53" ht="41.25">
      <c r="A100" s="225" t="b">
        <v>0</v>
      </c>
      <c r="B100" s="127" t="s">
        <v>453</v>
      </c>
      <c r="C100" s="205" t="s">
        <v>454</v>
      </c>
      <c r="D100" s="127" t="s">
        <v>455</v>
      </c>
      <c r="E100" s="127" t="s">
        <v>456</v>
      </c>
      <c r="G100" s="102"/>
      <c r="I100" s="103"/>
      <c r="J100" s="190"/>
      <c r="K100" s="190"/>
      <c r="L100" s="190"/>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row>
    <row r="101" spans="1:53" ht="27.75">
      <c r="A101" s="225" t="b">
        <v>0</v>
      </c>
      <c r="B101" s="282" t="s">
        <v>457</v>
      </c>
      <c r="C101" s="205" t="s">
        <v>458</v>
      </c>
      <c r="D101" s="127" t="s">
        <v>459</v>
      </c>
      <c r="E101" s="280" t="s">
        <v>460</v>
      </c>
      <c r="G101" s="102"/>
      <c r="I101" s="103"/>
      <c r="J101" s="190"/>
      <c r="K101" s="190"/>
      <c r="L101" s="190"/>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02"/>
      <c r="AJ101" s="102"/>
      <c r="AK101" s="102"/>
      <c r="AL101" s="102"/>
      <c r="AM101" s="102"/>
      <c r="AN101" s="102"/>
      <c r="AO101" s="102"/>
      <c r="AP101" s="102"/>
      <c r="AQ101" s="102"/>
      <c r="AR101" s="102"/>
      <c r="AS101" s="102"/>
      <c r="AT101" s="102"/>
      <c r="AU101" s="102"/>
      <c r="AV101" s="102"/>
      <c r="AW101" s="102"/>
      <c r="AX101" s="102"/>
      <c r="AY101" s="102"/>
      <c r="AZ101" s="102"/>
      <c r="BA101" s="102"/>
    </row>
    <row r="102" spans="1:53" ht="54.75">
      <c r="A102" s="225" t="b">
        <v>0</v>
      </c>
      <c r="B102" s="282"/>
      <c r="C102" s="247" t="s">
        <v>461</v>
      </c>
      <c r="D102" s="100" t="s">
        <v>462</v>
      </c>
      <c r="E102" s="280"/>
      <c r="F102" s="100" t="s">
        <v>463</v>
      </c>
      <c r="G102" s="102"/>
      <c r="I102" s="187">
        <v>46141</v>
      </c>
      <c r="J102" s="190">
        <f t="shared" ref="J102" si="3">EDATE(I102,1)</f>
        <v>46171</v>
      </c>
      <c r="K102" s="190">
        <f t="shared" ref="K102" si="4">EDATE(I102,3)</f>
        <v>46232</v>
      </c>
      <c r="L102" s="190">
        <f t="shared" ref="L102" si="5">EDATE(I102,6)</f>
        <v>46324</v>
      </c>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02"/>
      <c r="AJ102" s="102"/>
      <c r="AK102" s="102"/>
      <c r="AL102" s="102"/>
      <c r="AM102" s="102"/>
      <c r="AN102" s="102"/>
      <c r="AO102" s="102"/>
      <c r="AP102" s="102"/>
      <c r="AQ102" s="102"/>
      <c r="AR102" s="102"/>
      <c r="AS102" s="102"/>
      <c r="AT102" s="102"/>
      <c r="AU102" s="102"/>
      <c r="AV102" s="102"/>
      <c r="AW102" s="102"/>
      <c r="AX102" s="102"/>
      <c r="AY102" s="102"/>
      <c r="AZ102" s="102"/>
      <c r="BA102" s="102"/>
    </row>
    <row r="103" spans="1:53" ht="13.5">
      <c r="A103" s="225" t="b">
        <v>0</v>
      </c>
      <c r="B103" s="282"/>
      <c r="C103" s="228" t="s">
        <v>464</v>
      </c>
      <c r="D103" s="127" t="s">
        <v>465</v>
      </c>
      <c r="E103" s="280"/>
      <c r="G103" s="102"/>
      <c r="I103" s="103"/>
      <c r="J103" s="190"/>
      <c r="K103" s="190"/>
      <c r="L103" s="190"/>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02"/>
      <c r="AK103" s="102"/>
      <c r="AL103" s="102"/>
      <c r="AM103" s="102"/>
      <c r="AN103" s="102"/>
      <c r="AO103" s="102"/>
      <c r="AP103" s="102"/>
      <c r="AQ103" s="102"/>
      <c r="AR103" s="102"/>
      <c r="AS103" s="102"/>
      <c r="AT103" s="102"/>
      <c r="AU103" s="102"/>
      <c r="AV103" s="102"/>
      <c r="AW103" s="102"/>
      <c r="AX103" s="102"/>
      <c r="AY103" s="102"/>
      <c r="AZ103" s="102"/>
      <c r="BA103" s="102"/>
    </row>
    <row r="104" spans="1:53" ht="13.5">
      <c r="A104" s="225" t="b">
        <v>0</v>
      </c>
      <c r="B104" s="276" t="s">
        <v>466</v>
      </c>
      <c r="C104" s="205" t="s">
        <v>467</v>
      </c>
      <c r="D104" s="276" t="s">
        <v>468</v>
      </c>
      <c r="E104" s="270" t="s">
        <v>469</v>
      </c>
      <c r="G104" s="102"/>
      <c r="I104" s="103"/>
      <c r="J104" s="190"/>
      <c r="K104" s="190"/>
      <c r="L104" s="190"/>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row>
    <row r="105" spans="1:53" ht="13.5">
      <c r="A105" s="225" t="b">
        <v>0</v>
      </c>
      <c r="B105" s="276"/>
      <c r="C105" s="205" t="s">
        <v>470</v>
      </c>
      <c r="D105" s="276"/>
      <c r="E105" s="270"/>
      <c r="G105" s="102"/>
      <c r="I105" s="103"/>
      <c r="J105" s="190"/>
      <c r="K105" s="190"/>
      <c r="L105" s="190"/>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02"/>
      <c r="AK105" s="102"/>
      <c r="AL105" s="102"/>
      <c r="AM105" s="102"/>
      <c r="AN105" s="102"/>
      <c r="AO105" s="102"/>
      <c r="AP105" s="102"/>
      <c r="AQ105" s="102"/>
      <c r="AR105" s="102"/>
      <c r="AS105" s="102"/>
      <c r="AT105" s="102"/>
      <c r="AU105" s="102"/>
      <c r="AV105" s="102"/>
      <c r="AW105" s="102"/>
      <c r="AX105" s="102"/>
      <c r="AY105" s="102"/>
      <c r="AZ105" s="102"/>
      <c r="BA105" s="102"/>
    </row>
    <row r="106" spans="1:53" ht="13.5">
      <c r="A106" s="225" t="b">
        <v>0</v>
      </c>
      <c r="B106" s="276"/>
      <c r="C106" s="205" t="s">
        <v>471</v>
      </c>
      <c r="D106" s="276"/>
      <c r="E106" s="270"/>
      <c r="G106" s="102"/>
      <c r="I106" s="103"/>
      <c r="J106" s="190"/>
      <c r="K106" s="190"/>
      <c r="L106" s="190"/>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02"/>
      <c r="AK106" s="102"/>
      <c r="AL106" s="102"/>
      <c r="AM106" s="102"/>
      <c r="AN106" s="102"/>
      <c r="AO106" s="102"/>
      <c r="AP106" s="102"/>
      <c r="AQ106" s="102"/>
      <c r="AR106" s="102"/>
      <c r="AS106" s="102"/>
      <c r="AT106" s="102"/>
      <c r="AU106" s="102"/>
      <c r="AV106" s="102"/>
      <c r="AW106" s="102"/>
      <c r="AX106" s="102"/>
      <c r="AY106" s="102"/>
      <c r="AZ106" s="102"/>
      <c r="BA106" s="102"/>
    </row>
    <row r="107" spans="1:53" ht="13.5">
      <c r="A107" s="225" t="b">
        <v>0</v>
      </c>
      <c r="B107" s="276" t="s">
        <v>472</v>
      </c>
      <c r="C107" s="205" t="s">
        <v>473</v>
      </c>
      <c r="D107" s="276" t="s">
        <v>474</v>
      </c>
      <c r="E107" s="270" t="s">
        <v>475</v>
      </c>
      <c r="G107" s="102"/>
      <c r="I107" s="103"/>
      <c r="J107" s="190"/>
      <c r="K107" s="190"/>
      <c r="L107" s="190"/>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row>
    <row r="108" spans="1:53" ht="13.5">
      <c r="A108" s="225" t="b">
        <v>0</v>
      </c>
      <c r="B108" s="276"/>
      <c r="C108" s="205" t="s">
        <v>476</v>
      </c>
      <c r="D108" s="276"/>
      <c r="E108" s="270"/>
      <c r="G108" s="102"/>
      <c r="I108" s="103"/>
      <c r="J108" s="190"/>
      <c r="K108" s="190"/>
      <c r="L108" s="190"/>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row>
    <row r="109" spans="1:53" ht="27.75">
      <c r="A109" s="225" t="b">
        <v>0</v>
      </c>
      <c r="B109" s="133" t="s">
        <v>477</v>
      </c>
      <c r="C109" s="208" t="s">
        <v>478</v>
      </c>
      <c r="D109" s="252" t="s">
        <v>479</v>
      </c>
      <c r="E109" s="252" t="s">
        <v>480</v>
      </c>
      <c r="F109" s="133" t="s">
        <v>481</v>
      </c>
      <c r="I109" s="103"/>
      <c r="J109" s="190"/>
      <c r="K109" s="190"/>
      <c r="L109" s="190"/>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row>
    <row r="110" spans="1:53" ht="54.75">
      <c r="A110" s="225" t="b">
        <v>0</v>
      </c>
      <c r="B110" s="127" t="s">
        <v>482</v>
      </c>
      <c r="C110" s="205" t="s">
        <v>483</v>
      </c>
      <c r="D110" s="127" t="s">
        <v>484</v>
      </c>
      <c r="E110" s="127" t="s">
        <v>485</v>
      </c>
      <c r="F110" s="108" t="s">
        <v>486</v>
      </c>
      <c r="I110" s="103"/>
      <c r="J110" s="190"/>
      <c r="K110" s="190"/>
      <c r="L110" s="190"/>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row>
    <row r="111" spans="1:53" ht="54.75">
      <c r="A111" s="225" t="b">
        <v>0</v>
      </c>
      <c r="B111" s="100" t="s">
        <v>487</v>
      </c>
      <c r="C111" s="209" t="s">
        <v>488</v>
      </c>
      <c r="D111" s="100" t="s">
        <v>489</v>
      </c>
      <c r="E111" s="100" t="s">
        <v>490</v>
      </c>
      <c r="F111" s="100" t="s">
        <v>491</v>
      </c>
      <c r="G111" s="162">
        <v>46113</v>
      </c>
      <c r="I111" s="187">
        <v>46010</v>
      </c>
      <c r="J111" s="190">
        <f t="shared" ref="J111" si="6">EDATE(I111,1)</f>
        <v>46041</v>
      </c>
      <c r="K111" s="190">
        <f t="shared" ref="K111" si="7">EDATE(I111,3)</f>
        <v>46100</v>
      </c>
      <c r="L111" s="190">
        <f t="shared" ref="L111" si="8">EDATE(I111,6)</f>
        <v>46192</v>
      </c>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row>
    <row r="112" spans="1:53" ht="27.75">
      <c r="A112" s="225" t="b">
        <v>0</v>
      </c>
      <c r="B112" s="270" t="s">
        <v>492</v>
      </c>
      <c r="C112" s="205" t="s">
        <v>493</v>
      </c>
      <c r="D112" s="163" t="s">
        <v>494</v>
      </c>
      <c r="E112" s="270" t="s">
        <v>495</v>
      </c>
      <c r="I112" s="103"/>
      <c r="J112" s="190"/>
      <c r="K112" s="190"/>
      <c r="L112" s="190"/>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02"/>
      <c r="AJ112" s="102"/>
      <c r="AK112" s="102"/>
      <c r="AL112" s="102"/>
      <c r="AM112" s="102"/>
      <c r="AN112" s="102"/>
      <c r="AO112" s="102"/>
      <c r="AP112" s="102"/>
      <c r="AQ112" s="102"/>
      <c r="AR112" s="102"/>
      <c r="AS112" s="102"/>
      <c r="AT112" s="102"/>
      <c r="AU112" s="102"/>
      <c r="AV112" s="102"/>
      <c r="AW112" s="102"/>
      <c r="AX112" s="102"/>
      <c r="AY112" s="102"/>
      <c r="AZ112" s="102"/>
      <c r="BA112" s="102"/>
    </row>
    <row r="113" spans="1:53" ht="13.5">
      <c r="A113" s="225" t="b">
        <v>0</v>
      </c>
      <c r="B113" s="270"/>
      <c r="C113" s="205" t="s">
        <v>496</v>
      </c>
      <c r="D113" s="127" t="s">
        <v>497</v>
      </c>
      <c r="E113" s="270"/>
      <c r="I113" s="103"/>
      <c r="J113" s="190"/>
      <c r="K113" s="190"/>
      <c r="L113" s="190"/>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02"/>
      <c r="AJ113" s="102"/>
      <c r="AK113" s="102"/>
      <c r="AL113" s="102"/>
      <c r="AM113" s="102"/>
      <c r="AN113" s="102"/>
      <c r="AO113" s="102"/>
      <c r="AP113" s="102"/>
      <c r="AQ113" s="102"/>
      <c r="AR113" s="102"/>
      <c r="AS113" s="102"/>
      <c r="AT113" s="102"/>
      <c r="AU113" s="102"/>
      <c r="AV113" s="102"/>
      <c r="AW113" s="102"/>
      <c r="AX113" s="102"/>
      <c r="AY113" s="102"/>
      <c r="AZ113" s="102"/>
      <c r="BA113" s="102"/>
    </row>
    <row r="114" spans="1:53" s="164" customFormat="1" ht="69" customHeight="1">
      <c r="A114" s="245" t="b">
        <v>0</v>
      </c>
      <c r="B114" s="164" t="s">
        <v>498</v>
      </c>
      <c r="C114" s="212" t="s">
        <v>499</v>
      </c>
      <c r="D114" s="164" t="s">
        <v>500</v>
      </c>
      <c r="E114" s="164" t="s">
        <v>501</v>
      </c>
      <c r="F114" s="164" t="s">
        <v>502</v>
      </c>
      <c r="G114" s="164" t="s">
        <v>15</v>
      </c>
      <c r="I114" s="248">
        <v>45996</v>
      </c>
      <c r="J114" s="190">
        <f t="shared" ref="J114" si="9">EDATE(I114,1)</f>
        <v>46027</v>
      </c>
      <c r="K114" s="190">
        <f t="shared" ref="K114" si="10">EDATE(I114,3)</f>
        <v>46086</v>
      </c>
      <c r="L114" s="190">
        <f t="shared" ref="L114" si="11">EDATE(I114,6)</f>
        <v>46178</v>
      </c>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c r="AX114" s="112"/>
      <c r="AY114" s="112"/>
      <c r="AZ114" s="112"/>
      <c r="BA114" s="112"/>
    </row>
    <row r="115" spans="1:53" ht="96.75">
      <c r="A115" s="225" t="b">
        <v>0</v>
      </c>
      <c r="B115" s="127" t="s">
        <v>503</v>
      </c>
      <c r="C115" s="205" t="s">
        <v>504</v>
      </c>
      <c r="D115" s="127" t="s">
        <v>505</v>
      </c>
      <c r="E115" s="127" t="s">
        <v>506</v>
      </c>
      <c r="I115" s="103"/>
      <c r="J115" s="190"/>
      <c r="K115" s="190"/>
      <c r="L115" s="190"/>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02"/>
      <c r="AK115" s="102"/>
      <c r="AL115" s="102"/>
      <c r="AM115" s="102"/>
      <c r="AN115" s="102"/>
      <c r="AO115" s="102"/>
      <c r="AP115" s="102"/>
      <c r="AQ115" s="102"/>
      <c r="AR115" s="102"/>
      <c r="AS115" s="102"/>
      <c r="AT115" s="102"/>
      <c r="AU115" s="102"/>
      <c r="AV115" s="102"/>
      <c r="AW115" s="102"/>
      <c r="AX115" s="102"/>
      <c r="AY115" s="102"/>
      <c r="AZ115" s="102"/>
      <c r="BA115" s="102"/>
    </row>
    <row r="116" spans="1:53" ht="63" customHeight="1">
      <c r="A116" s="225" t="b">
        <v>0</v>
      </c>
      <c r="B116" s="126" t="s">
        <v>507</v>
      </c>
      <c r="C116" s="205" t="s">
        <v>508</v>
      </c>
      <c r="D116" s="126" t="s">
        <v>509</v>
      </c>
      <c r="E116" s="126" t="s">
        <v>510</v>
      </c>
      <c r="I116" s="103"/>
      <c r="J116" s="190"/>
      <c r="K116" s="190"/>
      <c r="L116" s="190"/>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row>
    <row r="117" spans="1:53" ht="54.75">
      <c r="A117" s="225" t="b">
        <v>0</v>
      </c>
      <c r="B117" s="127" t="s">
        <v>511</v>
      </c>
      <c r="C117" s="205" t="s">
        <v>512</v>
      </c>
      <c r="D117" s="127" t="s">
        <v>513</v>
      </c>
      <c r="E117" s="127" t="s">
        <v>514</v>
      </c>
      <c r="I117" s="103"/>
      <c r="J117" s="190"/>
      <c r="K117" s="190"/>
      <c r="L117" s="190"/>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row>
    <row r="118" spans="1:53" ht="54.75">
      <c r="A118" s="225" t="b">
        <v>0</v>
      </c>
      <c r="B118" s="127" t="s">
        <v>515</v>
      </c>
      <c r="C118" s="205" t="s">
        <v>516</v>
      </c>
      <c r="D118" s="127" t="s">
        <v>517</v>
      </c>
      <c r="E118" s="127" t="s">
        <v>518</v>
      </c>
      <c r="I118" s="103"/>
      <c r="J118" s="190"/>
      <c r="K118" s="190"/>
      <c r="L118" s="190"/>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row>
    <row r="119" spans="1:53" ht="41.25">
      <c r="A119" s="225" t="b">
        <v>0</v>
      </c>
      <c r="B119" s="153" t="s">
        <v>519</v>
      </c>
      <c r="C119" s="207" t="s">
        <v>520</v>
      </c>
      <c r="D119" s="153" t="s">
        <v>521</v>
      </c>
      <c r="E119" s="153" t="s">
        <v>522</v>
      </c>
      <c r="F119" s="153" t="s">
        <v>523</v>
      </c>
      <c r="I119" s="187">
        <v>46043</v>
      </c>
      <c r="J119" s="190">
        <f t="shared" ref="J119:J120" si="12">EDATE(I119,1)</f>
        <v>46074</v>
      </c>
      <c r="K119" s="190">
        <f t="shared" ref="K119" si="13">EDATE(I119,3)</f>
        <v>46133</v>
      </c>
      <c r="L119" s="190">
        <f t="shared" ref="L119" si="14">EDATE(I119,6)</f>
        <v>46224</v>
      </c>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row>
    <row r="120" spans="1:53" s="127" customFormat="1" ht="83.25">
      <c r="A120" s="238" t="b">
        <v>0</v>
      </c>
      <c r="B120" s="127" t="s">
        <v>524</v>
      </c>
      <c r="C120" s="205" t="s">
        <v>525</v>
      </c>
      <c r="D120" s="127" t="s">
        <v>526</v>
      </c>
      <c r="E120" s="127" t="s">
        <v>527</v>
      </c>
      <c r="F120" s="127" t="s">
        <v>528</v>
      </c>
      <c r="I120" s="187">
        <v>46085</v>
      </c>
      <c r="J120" s="190">
        <f t="shared" si="12"/>
        <v>46116</v>
      </c>
      <c r="K120" s="190">
        <f t="shared" ref="K120" si="15">EDATE(I120,3)</f>
        <v>46177</v>
      </c>
      <c r="L120" s="190">
        <f t="shared" ref="L120" si="16">EDATE(I120,6)</f>
        <v>46269</v>
      </c>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row>
    <row r="121" spans="1:53" s="112" customFormat="1" ht="68.25">
      <c r="A121" s="246" t="b">
        <v>0</v>
      </c>
      <c r="B121" s="112" t="s">
        <v>529</v>
      </c>
      <c r="C121" s="213" t="s">
        <v>530</v>
      </c>
      <c r="D121" s="112" t="s">
        <v>531</v>
      </c>
      <c r="E121" s="112" t="s">
        <v>532</v>
      </c>
      <c r="F121" s="112" t="s">
        <v>533</v>
      </c>
      <c r="I121" s="110"/>
      <c r="J121" s="191"/>
      <c r="K121" s="191"/>
      <c r="L121" s="191"/>
    </row>
    <row r="122" spans="1:53" s="102" customFormat="1" ht="41.25">
      <c r="A122" s="236" t="b">
        <v>0</v>
      </c>
      <c r="B122" s="102" t="s">
        <v>534</v>
      </c>
      <c r="C122" s="214" t="s">
        <v>535</v>
      </c>
      <c r="D122" s="102" t="s">
        <v>536</v>
      </c>
      <c r="E122" s="102" t="s">
        <v>537</v>
      </c>
      <c r="I122" s="103"/>
      <c r="J122" s="190"/>
      <c r="K122" s="190"/>
      <c r="L122" s="190"/>
    </row>
    <row r="123" spans="1:53">
      <c r="A123" s="225" t="b">
        <v>0</v>
      </c>
      <c r="G123" s="102"/>
      <c r="I123" s="103"/>
      <c r="J123" s="190"/>
      <c r="K123" s="190"/>
      <c r="L123" s="190"/>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row>
    <row r="124" spans="1:53" s="127" customFormat="1" ht="27.75">
      <c r="A124" s="238" t="b">
        <v>0</v>
      </c>
      <c r="B124" s="127" t="s">
        <v>538</v>
      </c>
      <c r="C124" s="205" t="s">
        <v>539</v>
      </c>
      <c r="D124" s="127" t="s">
        <v>540</v>
      </c>
      <c r="E124" s="127" t="s">
        <v>538</v>
      </c>
      <c r="I124" s="103"/>
      <c r="J124" s="190"/>
      <c r="K124" s="190"/>
      <c r="L124" s="190"/>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row>
    <row r="125" spans="1:53" ht="124.5">
      <c r="A125" s="225" t="b">
        <v>0</v>
      </c>
      <c r="B125" s="108" t="s">
        <v>541</v>
      </c>
      <c r="C125" s="186" t="s">
        <v>542</v>
      </c>
      <c r="D125" s="108" t="s">
        <v>543</v>
      </c>
      <c r="E125" s="108" t="s">
        <v>544</v>
      </c>
      <c r="G125" s="102"/>
      <c r="I125" s="103"/>
      <c r="J125" s="190"/>
      <c r="K125" s="190"/>
      <c r="L125" s="190"/>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row>
    <row r="126" spans="1:53" ht="68.25">
      <c r="A126" s="225" t="b">
        <v>0</v>
      </c>
      <c r="B126" s="108" t="s">
        <v>545</v>
      </c>
      <c r="C126" s="186" t="s">
        <v>546</v>
      </c>
      <c r="D126" s="108" t="s">
        <v>547</v>
      </c>
      <c r="E126" s="108" t="s">
        <v>548</v>
      </c>
      <c r="G126" s="102"/>
      <c r="I126" s="103"/>
      <c r="J126" s="190"/>
      <c r="K126" s="190"/>
      <c r="L126" s="190"/>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row>
    <row r="127" spans="1:53" s="127" customFormat="1" ht="83.25">
      <c r="A127" s="238" t="b">
        <v>0</v>
      </c>
      <c r="B127" s="127" t="s">
        <v>549</v>
      </c>
      <c r="C127" s="205" t="s">
        <v>550</v>
      </c>
      <c r="D127" s="127" t="s">
        <v>551</v>
      </c>
      <c r="E127" s="127" t="s">
        <v>552</v>
      </c>
      <c r="I127" s="103"/>
      <c r="J127" s="190"/>
      <c r="K127" s="190"/>
      <c r="L127" s="190"/>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row>
    <row r="128" spans="1:53" ht="41.25">
      <c r="A128" s="225" t="b">
        <v>0</v>
      </c>
      <c r="B128" s="127" t="s">
        <v>553</v>
      </c>
      <c r="C128" s="205" t="s">
        <v>554</v>
      </c>
      <c r="D128" s="127" t="s">
        <v>555</v>
      </c>
      <c r="E128" s="127" t="s">
        <v>556</v>
      </c>
      <c r="I128" s="103"/>
      <c r="J128" s="190"/>
      <c r="K128" s="190"/>
      <c r="L128" s="190"/>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row>
    <row r="129" spans="1:53" ht="110.25">
      <c r="A129" s="225" t="b">
        <v>0</v>
      </c>
      <c r="B129" s="127" t="s">
        <v>557</v>
      </c>
      <c r="C129" s="205" t="s">
        <v>558</v>
      </c>
      <c r="D129" s="127" t="s">
        <v>559</v>
      </c>
      <c r="E129" s="127" t="s">
        <v>560</v>
      </c>
      <c r="I129" s="103"/>
      <c r="J129" s="190"/>
      <c r="K129" s="190"/>
      <c r="L129" s="190"/>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row>
    <row r="130" spans="1:53" ht="41.25">
      <c r="A130" s="225" t="b">
        <v>0</v>
      </c>
      <c r="B130" s="127" t="s">
        <v>561</v>
      </c>
      <c r="C130" s="205" t="s">
        <v>562</v>
      </c>
      <c r="D130" s="127" t="s">
        <v>563</v>
      </c>
      <c r="E130" s="125" t="s">
        <v>564</v>
      </c>
      <c r="I130" s="103"/>
      <c r="J130" s="190"/>
      <c r="K130" s="190"/>
      <c r="L130" s="190"/>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c r="AY130" s="102"/>
      <c r="AZ130" s="102"/>
      <c r="BA130" s="102"/>
    </row>
    <row r="131" spans="1:53" ht="41.25">
      <c r="A131" s="225" t="b">
        <v>0</v>
      </c>
      <c r="B131" s="127" t="s">
        <v>565</v>
      </c>
      <c r="C131" s="205" t="s">
        <v>566</v>
      </c>
      <c r="D131" s="127" t="s">
        <v>567</v>
      </c>
      <c r="E131" s="127" t="s">
        <v>568</v>
      </c>
      <c r="I131" s="103"/>
      <c r="J131" s="190"/>
      <c r="K131" s="190"/>
      <c r="L131" s="190"/>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row>
    <row r="132" spans="1:53" ht="41.25">
      <c r="A132" s="225" t="b">
        <v>0</v>
      </c>
      <c r="B132" s="127" t="s">
        <v>569</v>
      </c>
      <c r="C132" s="205" t="s">
        <v>570</v>
      </c>
      <c r="D132" s="127" t="s">
        <v>571</v>
      </c>
      <c r="E132" s="127" t="s">
        <v>572</v>
      </c>
      <c r="I132" s="103"/>
      <c r="J132" s="190"/>
      <c r="K132" s="190"/>
      <c r="L132" s="190"/>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row>
    <row r="133" spans="1:53" ht="83.25">
      <c r="A133" s="225" t="b">
        <v>0</v>
      </c>
      <c r="B133" s="127" t="s">
        <v>573</v>
      </c>
      <c r="C133" s="205" t="s">
        <v>574</v>
      </c>
      <c r="D133" s="127" t="s">
        <v>575</v>
      </c>
      <c r="E133" s="127" t="s">
        <v>576</v>
      </c>
      <c r="I133" s="103"/>
      <c r="J133" s="190"/>
      <c r="K133" s="190"/>
      <c r="L133" s="190"/>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row>
    <row r="134" spans="1:53" ht="68.25">
      <c r="A134" s="225" t="b">
        <v>0</v>
      </c>
      <c r="B134" s="127" t="s">
        <v>577</v>
      </c>
      <c r="C134" s="205" t="s">
        <v>578</v>
      </c>
      <c r="D134" s="127" t="s">
        <v>579</v>
      </c>
      <c r="E134" s="127" t="s">
        <v>580</v>
      </c>
      <c r="I134" s="103"/>
      <c r="J134" s="190"/>
      <c r="K134" s="190"/>
      <c r="L134" s="190"/>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row>
    <row r="135" spans="1:53" ht="54.75">
      <c r="A135" s="225" t="b">
        <v>0</v>
      </c>
      <c r="B135" s="127" t="s">
        <v>581</v>
      </c>
      <c r="C135" s="205" t="s">
        <v>582</v>
      </c>
      <c r="D135" s="127" t="s">
        <v>583</v>
      </c>
      <c r="E135" s="127" t="s">
        <v>584</v>
      </c>
      <c r="I135" s="103"/>
      <c r="J135" s="190"/>
      <c r="K135" s="190"/>
      <c r="L135" s="190"/>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02"/>
      <c r="AN135" s="102"/>
      <c r="AO135" s="102"/>
      <c r="AP135" s="102"/>
      <c r="AQ135" s="102"/>
      <c r="AR135" s="102"/>
      <c r="AS135" s="102"/>
      <c r="AT135" s="102"/>
      <c r="AU135" s="102"/>
      <c r="AV135" s="102"/>
      <c r="AW135" s="102"/>
      <c r="AX135" s="102"/>
      <c r="AY135" s="102"/>
      <c r="AZ135" s="102"/>
      <c r="BA135" s="102"/>
    </row>
    <row r="136" spans="1:53" ht="41.25">
      <c r="A136" s="225" t="b">
        <v>0</v>
      </c>
      <c r="B136" s="127" t="s">
        <v>585</v>
      </c>
      <c r="C136" s="205" t="s">
        <v>586</v>
      </c>
      <c r="D136" s="127" t="s">
        <v>587</v>
      </c>
      <c r="E136" s="127" t="s">
        <v>588</v>
      </c>
      <c r="I136" s="103"/>
      <c r="J136" s="190"/>
      <c r="K136" s="190"/>
      <c r="L136" s="190"/>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row>
    <row r="137" spans="1:53" ht="68.25">
      <c r="A137" s="225" t="b">
        <v>0</v>
      </c>
      <c r="B137" s="153" t="s">
        <v>589</v>
      </c>
      <c r="C137" s="207" t="s">
        <v>590</v>
      </c>
      <c r="D137" s="153" t="s">
        <v>591</v>
      </c>
      <c r="E137" s="153" t="s">
        <v>592</v>
      </c>
      <c r="F137" s="153" t="s">
        <v>593</v>
      </c>
      <c r="I137" s="187">
        <v>46113</v>
      </c>
      <c r="J137" s="190">
        <f t="shared" ref="J137" si="17">EDATE(I137,1)</f>
        <v>46143</v>
      </c>
      <c r="K137" s="190">
        <f t="shared" ref="K137" si="18">EDATE(I137,3)</f>
        <v>46204</v>
      </c>
      <c r="L137" s="190">
        <f t="shared" ref="L137" si="19">EDATE(I137,6)</f>
        <v>46296</v>
      </c>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c r="AN137" s="102"/>
      <c r="AO137" s="102"/>
      <c r="AP137" s="102"/>
      <c r="AQ137" s="102"/>
      <c r="AR137" s="102"/>
      <c r="AS137" s="102"/>
      <c r="AT137" s="102"/>
      <c r="AU137" s="102"/>
      <c r="AV137" s="102"/>
      <c r="AW137" s="102"/>
      <c r="AX137" s="102"/>
      <c r="AY137" s="102"/>
      <c r="AZ137" s="102"/>
      <c r="BA137" s="102"/>
    </row>
    <row r="138" spans="1:53" ht="192.75">
      <c r="A138" s="225" t="b">
        <v>0</v>
      </c>
      <c r="B138" s="127" t="s">
        <v>594</v>
      </c>
      <c r="C138" s="205" t="s">
        <v>595</v>
      </c>
      <c r="D138" s="127" t="s">
        <v>596</v>
      </c>
      <c r="E138" s="127" t="s">
        <v>597</v>
      </c>
      <c r="I138" s="103"/>
      <c r="J138" s="190"/>
      <c r="K138" s="190"/>
      <c r="L138" s="190"/>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row>
    <row r="139" spans="1:53" ht="289.5">
      <c r="A139" s="225" t="b">
        <v>0</v>
      </c>
      <c r="B139" s="127" t="s">
        <v>598</v>
      </c>
      <c r="C139" s="205" t="s">
        <v>599</v>
      </c>
      <c r="D139" s="127" t="s">
        <v>600</v>
      </c>
      <c r="E139" s="127" t="s">
        <v>601</v>
      </c>
      <c r="I139" s="103"/>
      <c r="J139" s="190"/>
      <c r="K139" s="190"/>
      <c r="L139" s="190"/>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c r="AN139" s="102"/>
      <c r="AO139" s="102"/>
      <c r="AP139" s="102"/>
      <c r="AQ139" s="102"/>
      <c r="AR139" s="102"/>
      <c r="AS139" s="102"/>
      <c r="AT139" s="102"/>
      <c r="AU139" s="102"/>
      <c r="AV139" s="102"/>
      <c r="AW139" s="102"/>
      <c r="AX139" s="102"/>
      <c r="AY139" s="102"/>
      <c r="AZ139" s="102"/>
      <c r="BA139" s="102"/>
    </row>
    <row r="140" spans="1:53" ht="27.75">
      <c r="A140" s="225" t="b">
        <v>0</v>
      </c>
      <c r="B140" s="127" t="s">
        <v>602</v>
      </c>
      <c r="C140" s="205" t="s">
        <v>603</v>
      </c>
      <c r="D140" s="127" t="s">
        <v>604</v>
      </c>
      <c r="E140" s="127" t="s">
        <v>605</v>
      </c>
      <c r="I140" s="103"/>
      <c r="J140" s="190"/>
      <c r="K140" s="190"/>
      <c r="L140" s="190"/>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row>
    <row r="141" spans="1:53" ht="13.5">
      <c r="A141" s="225" t="b">
        <v>0</v>
      </c>
      <c r="B141" s="276" t="s">
        <v>606</v>
      </c>
      <c r="C141" s="205" t="s">
        <v>607</v>
      </c>
      <c r="D141" s="276" t="s">
        <v>608</v>
      </c>
      <c r="E141" s="270" t="s">
        <v>609</v>
      </c>
      <c r="I141" s="103"/>
      <c r="J141" s="190"/>
      <c r="K141" s="190"/>
      <c r="L141" s="190"/>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c r="AN141" s="102"/>
      <c r="AO141" s="102"/>
      <c r="AP141" s="102"/>
      <c r="AQ141" s="102"/>
      <c r="AR141" s="102"/>
      <c r="AS141" s="102"/>
      <c r="AT141" s="102"/>
      <c r="AU141" s="102"/>
      <c r="AV141" s="102"/>
      <c r="AW141" s="102"/>
      <c r="AX141" s="102"/>
      <c r="AY141" s="102"/>
      <c r="AZ141" s="102"/>
      <c r="BA141" s="102"/>
    </row>
    <row r="142" spans="1:53" ht="54.75">
      <c r="A142" s="225" t="b">
        <v>0</v>
      </c>
      <c r="B142" s="276"/>
      <c r="C142" s="205" t="s">
        <v>610</v>
      </c>
      <c r="D142" s="276"/>
      <c r="E142" s="270"/>
      <c r="F142" s="108" t="s">
        <v>611</v>
      </c>
      <c r="G142" s="165">
        <v>46104</v>
      </c>
      <c r="I142" s="103"/>
      <c r="J142" s="190"/>
      <c r="K142" s="190"/>
      <c r="L142" s="190"/>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c r="AY142" s="102"/>
      <c r="AZ142" s="102"/>
      <c r="BA142" s="102"/>
    </row>
    <row r="143" spans="1:53" ht="41.25">
      <c r="A143" s="225" t="b">
        <v>0</v>
      </c>
      <c r="B143" s="127" t="s">
        <v>612</v>
      </c>
      <c r="C143" s="205" t="s">
        <v>613</v>
      </c>
      <c r="D143" s="127" t="s">
        <v>614</v>
      </c>
      <c r="E143" s="127" t="s">
        <v>615</v>
      </c>
      <c r="F143" s="108" t="s">
        <v>616</v>
      </c>
      <c r="I143" s="103"/>
      <c r="J143" s="190"/>
      <c r="K143" s="190"/>
      <c r="L143" s="190"/>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c r="AN143" s="102"/>
      <c r="AO143" s="102"/>
      <c r="AP143" s="102"/>
      <c r="AQ143" s="102"/>
      <c r="AR143" s="102"/>
      <c r="AS143" s="102"/>
      <c r="AT143" s="102"/>
      <c r="AU143" s="102"/>
      <c r="AV143" s="102"/>
      <c r="AW143" s="102"/>
      <c r="AX143" s="102"/>
      <c r="AY143" s="102"/>
      <c r="AZ143" s="102"/>
      <c r="BA143" s="102"/>
    </row>
    <row r="144" spans="1:53" s="127" customFormat="1" ht="68.25">
      <c r="A144" s="238" t="b">
        <v>0</v>
      </c>
      <c r="B144" s="93" t="s">
        <v>617</v>
      </c>
      <c r="C144" s="229" t="s">
        <v>618</v>
      </c>
      <c r="D144" s="93" t="s">
        <v>619</v>
      </c>
      <c r="E144" s="93" t="s">
        <v>620</v>
      </c>
      <c r="I144" s="103"/>
      <c r="J144" s="190"/>
      <c r="K144" s="190"/>
      <c r="L144" s="190"/>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c r="AY144" s="102"/>
      <c r="AZ144" s="102"/>
      <c r="BA144" s="102"/>
    </row>
    <row r="145" spans="1:53" ht="62.25" customHeight="1">
      <c r="A145" s="225" t="b">
        <v>0</v>
      </c>
      <c r="B145" s="127" t="s">
        <v>621</v>
      </c>
      <c r="C145" s="205" t="s">
        <v>622</v>
      </c>
      <c r="D145" s="127" t="s">
        <v>623</v>
      </c>
      <c r="E145" s="127" t="s">
        <v>624</v>
      </c>
      <c r="I145" s="103"/>
      <c r="J145" s="190"/>
      <c r="K145" s="190"/>
      <c r="L145" s="190"/>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c r="AN145" s="102"/>
      <c r="AO145" s="102"/>
      <c r="AP145" s="102"/>
      <c r="AQ145" s="102"/>
      <c r="AR145" s="102"/>
      <c r="AS145" s="102"/>
      <c r="AT145" s="102"/>
      <c r="AU145" s="102"/>
      <c r="AV145" s="102"/>
      <c r="AW145" s="102"/>
      <c r="AX145" s="102"/>
      <c r="AY145" s="102"/>
      <c r="AZ145" s="102"/>
      <c r="BA145" s="102"/>
    </row>
    <row r="146" spans="1:53" ht="54.75">
      <c r="A146" s="225" t="b">
        <v>0</v>
      </c>
      <c r="B146" s="93" t="s">
        <v>625</v>
      </c>
      <c r="C146" s="215" t="s">
        <v>626</v>
      </c>
      <c r="D146" s="166" t="s">
        <v>627</v>
      </c>
      <c r="E146" s="93" t="s">
        <v>628</v>
      </c>
      <c r="F146" s="108" t="s">
        <v>629</v>
      </c>
      <c r="I146" s="103"/>
      <c r="J146" s="190"/>
      <c r="K146" s="190"/>
      <c r="L146" s="190"/>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02"/>
      <c r="AK146" s="102"/>
      <c r="AL146" s="102"/>
      <c r="AM146" s="102"/>
      <c r="AN146" s="102"/>
      <c r="AO146" s="102"/>
      <c r="AP146" s="102"/>
      <c r="AQ146" s="102"/>
      <c r="AR146" s="102"/>
      <c r="AS146" s="102"/>
      <c r="AT146" s="102"/>
      <c r="AU146" s="102"/>
      <c r="AV146" s="102"/>
      <c r="AW146" s="102"/>
      <c r="AX146" s="102"/>
      <c r="AY146" s="102"/>
      <c r="AZ146" s="102"/>
      <c r="BA146" s="102"/>
    </row>
    <row r="147" spans="1:53" ht="13.5">
      <c r="A147" s="225" t="b">
        <v>0</v>
      </c>
      <c r="B147" s="93" t="s">
        <v>630</v>
      </c>
      <c r="C147" s="229" t="s">
        <v>631</v>
      </c>
      <c r="D147" s="166" t="s">
        <v>632</v>
      </c>
      <c r="E147" s="93" t="s">
        <v>633</v>
      </c>
      <c r="I147" s="103"/>
      <c r="J147" s="190"/>
      <c r="K147" s="190"/>
      <c r="L147" s="190"/>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c r="AY147" s="102"/>
      <c r="AZ147" s="102"/>
      <c r="BA147" s="102"/>
    </row>
    <row r="148" spans="1:53" ht="96.75">
      <c r="A148" s="225" t="b">
        <v>0</v>
      </c>
      <c r="B148" s="93" t="s">
        <v>634</v>
      </c>
      <c r="C148" s="215" t="s">
        <v>635</v>
      </c>
      <c r="D148" s="93" t="s">
        <v>636</v>
      </c>
      <c r="E148" s="93" t="s">
        <v>637</v>
      </c>
      <c r="I148" s="103"/>
      <c r="J148" s="190"/>
      <c r="K148" s="190"/>
      <c r="L148" s="190"/>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c r="AN148" s="102"/>
      <c r="AO148" s="102"/>
      <c r="AP148" s="102"/>
      <c r="AQ148" s="102"/>
      <c r="AR148" s="102"/>
      <c r="AS148" s="102"/>
      <c r="AT148" s="102"/>
      <c r="AU148" s="102"/>
      <c r="AV148" s="102"/>
      <c r="AW148" s="102"/>
      <c r="AX148" s="102"/>
      <c r="AY148" s="102"/>
      <c r="AZ148" s="102"/>
      <c r="BA148" s="102"/>
    </row>
    <row r="149" spans="1:53" ht="54.75">
      <c r="A149" s="225" t="b">
        <v>0</v>
      </c>
      <c r="B149" s="93" t="s">
        <v>638</v>
      </c>
      <c r="C149" s="215" t="s">
        <v>639</v>
      </c>
      <c r="D149" s="166" t="s">
        <v>640</v>
      </c>
      <c r="E149" s="93" t="s">
        <v>641</v>
      </c>
      <c r="I149" s="103"/>
      <c r="J149" s="190"/>
      <c r="K149" s="190"/>
      <c r="L149" s="190"/>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02"/>
      <c r="AJ149" s="102"/>
      <c r="AK149" s="102"/>
      <c r="AL149" s="102"/>
      <c r="AM149" s="102"/>
      <c r="AN149" s="102"/>
      <c r="AO149" s="102"/>
      <c r="AP149" s="102"/>
      <c r="AQ149" s="102"/>
      <c r="AR149" s="102"/>
      <c r="AS149" s="102"/>
      <c r="AT149" s="102"/>
      <c r="AU149" s="102"/>
      <c r="AV149" s="102"/>
      <c r="AW149" s="102"/>
      <c r="AX149" s="102"/>
      <c r="AY149" s="102"/>
      <c r="AZ149" s="102"/>
      <c r="BA149" s="102"/>
    </row>
    <row r="150" spans="1:53" ht="68.25">
      <c r="A150" s="225" t="b">
        <v>0</v>
      </c>
      <c r="B150" s="93" t="s">
        <v>642</v>
      </c>
      <c r="C150" s="215" t="s">
        <v>643</v>
      </c>
      <c r="D150" s="166" t="s">
        <v>644</v>
      </c>
      <c r="E150" s="93" t="s">
        <v>645</v>
      </c>
      <c r="I150" s="103"/>
      <c r="J150" s="190"/>
      <c r="K150" s="190"/>
      <c r="L150" s="190"/>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02"/>
      <c r="AK150" s="102"/>
      <c r="AL150" s="102"/>
      <c r="AM150" s="102"/>
      <c r="AN150" s="102"/>
      <c r="AO150" s="102"/>
      <c r="AP150" s="102"/>
      <c r="AQ150" s="102"/>
      <c r="AR150" s="102"/>
      <c r="AS150" s="102"/>
      <c r="AT150" s="102"/>
      <c r="AU150" s="102"/>
      <c r="AV150" s="102"/>
      <c r="AW150" s="102"/>
      <c r="AX150" s="102"/>
      <c r="AY150" s="102"/>
      <c r="AZ150" s="102"/>
      <c r="BA150" s="102"/>
    </row>
    <row r="151" spans="1:53" ht="27.75">
      <c r="A151" s="225" t="b">
        <v>0</v>
      </c>
      <c r="B151" s="88" t="s">
        <v>646</v>
      </c>
      <c r="C151" s="216" t="s">
        <v>647</v>
      </c>
      <c r="D151" s="167" t="s">
        <v>648</v>
      </c>
      <c r="E151" s="88" t="s">
        <v>649</v>
      </c>
      <c r="I151" s="103"/>
      <c r="J151" s="190"/>
      <c r="K151" s="190"/>
      <c r="L151" s="190"/>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02"/>
      <c r="AK151" s="102"/>
      <c r="AL151" s="102"/>
      <c r="AM151" s="102"/>
      <c r="AN151" s="102"/>
      <c r="AO151" s="102"/>
      <c r="AP151" s="102"/>
      <c r="AQ151" s="102"/>
      <c r="AR151" s="102"/>
      <c r="AS151" s="102"/>
      <c r="AT151" s="102"/>
      <c r="AU151" s="102"/>
      <c r="AV151" s="102"/>
      <c r="AW151" s="102"/>
      <c r="AX151" s="102"/>
      <c r="AY151" s="102"/>
      <c r="AZ151" s="102"/>
      <c r="BA151" s="102"/>
    </row>
    <row r="152" spans="1:53" ht="27.75">
      <c r="A152" s="225" t="b">
        <v>0</v>
      </c>
      <c r="B152" s="88" t="s">
        <v>650</v>
      </c>
      <c r="C152" s="230" t="s">
        <v>651</v>
      </c>
      <c r="D152" s="167" t="s">
        <v>652</v>
      </c>
      <c r="E152" s="88" t="s">
        <v>653</v>
      </c>
      <c r="I152" s="103"/>
      <c r="J152" s="190"/>
      <c r="K152" s="190"/>
      <c r="L152" s="190"/>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02"/>
      <c r="AJ152" s="102"/>
      <c r="AK152" s="102"/>
      <c r="AL152" s="102"/>
      <c r="AM152" s="102"/>
      <c r="AN152" s="102"/>
      <c r="AO152" s="102"/>
      <c r="AP152" s="102"/>
      <c r="AQ152" s="102"/>
      <c r="AR152" s="102"/>
      <c r="AS152" s="102"/>
      <c r="AT152" s="102"/>
      <c r="AU152" s="102"/>
      <c r="AV152" s="102"/>
      <c r="AW152" s="102"/>
      <c r="AX152" s="102"/>
      <c r="AY152" s="102"/>
      <c r="AZ152" s="102"/>
      <c r="BA152" s="102"/>
    </row>
    <row r="153" spans="1:53" ht="41.25">
      <c r="A153" s="225" t="b">
        <v>0</v>
      </c>
      <c r="B153" s="88" t="s">
        <v>654</v>
      </c>
      <c r="C153" s="230" t="s">
        <v>655</v>
      </c>
      <c r="D153" s="168" t="s">
        <v>656</v>
      </c>
      <c r="I153" s="103"/>
      <c r="J153" s="190"/>
      <c r="K153" s="190"/>
      <c r="L153" s="190"/>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02"/>
      <c r="AJ153" s="102"/>
      <c r="AK153" s="102"/>
      <c r="AL153" s="102"/>
      <c r="AM153" s="102"/>
      <c r="AN153" s="102"/>
      <c r="AO153" s="102"/>
      <c r="AP153" s="102"/>
      <c r="AQ153" s="102"/>
      <c r="AR153" s="102"/>
      <c r="AS153" s="102"/>
      <c r="AT153" s="102"/>
      <c r="AU153" s="102"/>
      <c r="AV153" s="102"/>
      <c r="AW153" s="102"/>
      <c r="AX153" s="102"/>
      <c r="AY153" s="102"/>
      <c r="AZ153" s="102"/>
      <c r="BA153" s="102"/>
    </row>
    <row r="154" spans="1:53">
      <c r="A154" s="225" t="b">
        <v>0</v>
      </c>
      <c r="B154" s="272" t="s">
        <v>657</v>
      </c>
      <c r="C154" s="230" t="s">
        <v>658</v>
      </c>
      <c r="D154" s="273" t="s">
        <v>659</v>
      </c>
      <c r="I154" s="103"/>
      <c r="J154" s="190"/>
      <c r="K154" s="190"/>
      <c r="L154" s="190"/>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02"/>
      <c r="AJ154" s="102"/>
      <c r="AK154" s="102"/>
      <c r="AL154" s="102"/>
      <c r="AM154" s="102"/>
      <c r="AN154" s="102"/>
      <c r="AO154" s="102"/>
      <c r="AP154" s="102"/>
      <c r="AQ154" s="102"/>
      <c r="AR154" s="102"/>
      <c r="AS154" s="102"/>
      <c r="AT154" s="102"/>
      <c r="AU154" s="102"/>
      <c r="AV154" s="102"/>
      <c r="AW154" s="102"/>
      <c r="AX154" s="102"/>
      <c r="AY154" s="102"/>
      <c r="AZ154" s="102"/>
      <c r="BA154" s="102"/>
    </row>
    <row r="155" spans="1:53">
      <c r="A155" s="225" t="b">
        <v>0</v>
      </c>
      <c r="B155" s="272"/>
      <c r="C155" s="230" t="s">
        <v>660</v>
      </c>
      <c r="D155" s="273"/>
      <c r="I155" s="103"/>
      <c r="J155" s="190"/>
      <c r="K155" s="190"/>
      <c r="L155" s="190"/>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c r="AN155" s="102"/>
      <c r="AO155" s="102"/>
      <c r="AP155" s="102"/>
      <c r="AQ155" s="102"/>
      <c r="AR155" s="102"/>
      <c r="AS155" s="102"/>
      <c r="AT155" s="102"/>
      <c r="AU155" s="102"/>
      <c r="AV155" s="102"/>
      <c r="AW155" s="102"/>
      <c r="AX155" s="102"/>
      <c r="AY155" s="102"/>
      <c r="AZ155" s="102"/>
      <c r="BA155" s="102"/>
    </row>
    <row r="156" spans="1:53" ht="138">
      <c r="A156" s="225" t="b">
        <v>0</v>
      </c>
      <c r="B156" s="90" t="s">
        <v>661</v>
      </c>
      <c r="C156" s="217" t="s">
        <v>662</v>
      </c>
      <c r="D156" s="169" t="s">
        <v>663</v>
      </c>
      <c r="E156" s="90" t="s">
        <v>664</v>
      </c>
      <c r="I156" s="103"/>
      <c r="J156" s="190"/>
      <c r="K156" s="190"/>
      <c r="L156" s="190"/>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02"/>
      <c r="AJ156" s="102"/>
      <c r="AK156" s="102"/>
      <c r="AL156" s="102"/>
      <c r="AM156" s="102"/>
      <c r="AN156" s="102"/>
      <c r="AO156" s="102"/>
      <c r="AP156" s="102"/>
      <c r="AQ156" s="102"/>
      <c r="AR156" s="102"/>
      <c r="AS156" s="102"/>
      <c r="AT156" s="102"/>
      <c r="AU156" s="102"/>
      <c r="AV156" s="102"/>
      <c r="AW156" s="102"/>
      <c r="AX156" s="102"/>
      <c r="AY156" s="102"/>
      <c r="AZ156" s="102"/>
      <c r="BA156" s="102"/>
    </row>
    <row r="157" spans="1:53" ht="41.25">
      <c r="A157" s="225" t="b">
        <v>0</v>
      </c>
      <c r="B157" s="90" t="s">
        <v>665</v>
      </c>
      <c r="C157" s="217" t="s">
        <v>666</v>
      </c>
      <c r="D157" s="169" t="s">
        <v>667</v>
      </c>
      <c r="E157" s="90" t="s">
        <v>668</v>
      </c>
      <c r="I157" s="103"/>
      <c r="J157" s="190"/>
      <c r="K157" s="190"/>
      <c r="L157" s="190"/>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02"/>
      <c r="AK157" s="102"/>
      <c r="AL157" s="102"/>
      <c r="AM157" s="102"/>
      <c r="AN157" s="102"/>
      <c r="AO157" s="102"/>
      <c r="AP157" s="102"/>
      <c r="AQ157" s="102"/>
      <c r="AR157" s="102"/>
      <c r="AS157" s="102"/>
      <c r="AT157" s="102"/>
      <c r="AU157" s="102"/>
      <c r="AV157" s="102"/>
      <c r="AW157" s="102"/>
      <c r="AX157" s="102"/>
      <c r="AY157" s="102"/>
      <c r="AZ157" s="102"/>
      <c r="BA157" s="102"/>
    </row>
    <row r="158" spans="1:53" ht="41.25">
      <c r="A158" s="225" t="b">
        <v>0</v>
      </c>
      <c r="B158" s="88" t="s">
        <v>669</v>
      </c>
      <c r="C158" s="216" t="s">
        <v>670</v>
      </c>
      <c r="D158" s="88" t="s">
        <v>671</v>
      </c>
      <c r="E158" s="88" t="s">
        <v>672</v>
      </c>
      <c r="F158" s="269" t="s">
        <v>673</v>
      </c>
      <c r="I158" s="103"/>
      <c r="J158" s="190"/>
      <c r="K158" s="190"/>
      <c r="L158" s="190"/>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02"/>
      <c r="AJ158" s="102"/>
      <c r="AK158" s="102"/>
      <c r="AL158" s="102"/>
      <c r="AM158" s="102"/>
      <c r="AN158" s="102"/>
      <c r="AO158" s="102"/>
      <c r="AP158" s="102"/>
      <c r="AQ158" s="102"/>
      <c r="AR158" s="102"/>
      <c r="AS158" s="102"/>
      <c r="AT158" s="102"/>
      <c r="AU158" s="102"/>
      <c r="AV158" s="102"/>
      <c r="AW158" s="102"/>
      <c r="AX158" s="102"/>
      <c r="AY158" s="102"/>
      <c r="AZ158" s="102"/>
      <c r="BA158" s="102"/>
    </row>
    <row r="159" spans="1:53" ht="41.25">
      <c r="A159" s="225" t="b">
        <v>0</v>
      </c>
      <c r="B159" s="88" t="s">
        <v>674</v>
      </c>
      <c r="C159" s="230" t="s">
        <v>675</v>
      </c>
      <c r="D159" s="167" t="s">
        <v>676</v>
      </c>
      <c r="E159" s="88" t="s">
        <v>677</v>
      </c>
      <c r="F159" s="269"/>
      <c r="I159" s="103"/>
      <c r="J159" s="190"/>
      <c r="K159" s="190"/>
      <c r="L159" s="190"/>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02"/>
      <c r="AJ159" s="102"/>
      <c r="AK159" s="102"/>
      <c r="AL159" s="102"/>
      <c r="AM159" s="102"/>
      <c r="AN159" s="102"/>
      <c r="AO159" s="102"/>
      <c r="AP159" s="102"/>
      <c r="AQ159" s="102"/>
      <c r="AR159" s="102"/>
      <c r="AS159" s="102"/>
      <c r="AT159" s="102"/>
      <c r="AU159" s="102"/>
      <c r="AV159" s="102"/>
      <c r="AW159" s="102"/>
      <c r="AX159" s="102"/>
      <c r="AY159" s="102"/>
      <c r="AZ159" s="102"/>
      <c r="BA159" s="102"/>
    </row>
    <row r="160" spans="1:53" ht="27.75">
      <c r="A160" s="225" t="b">
        <v>0</v>
      </c>
      <c r="B160" s="88" t="s">
        <v>678</v>
      </c>
      <c r="C160" s="230" t="s">
        <v>679</v>
      </c>
      <c r="D160" s="167" t="s">
        <v>680</v>
      </c>
      <c r="E160" s="88" t="s">
        <v>681</v>
      </c>
      <c r="I160" s="103"/>
      <c r="J160" s="190"/>
      <c r="K160" s="190"/>
      <c r="L160" s="190"/>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102"/>
      <c r="AQ160" s="102"/>
      <c r="AR160" s="102"/>
      <c r="AS160" s="102"/>
      <c r="AT160" s="102"/>
      <c r="AU160" s="102"/>
      <c r="AV160" s="102"/>
      <c r="AW160" s="102"/>
      <c r="AX160" s="102"/>
      <c r="AY160" s="102"/>
      <c r="AZ160" s="102"/>
      <c r="BA160" s="102"/>
    </row>
    <row r="161" spans="1:53" ht="41.25">
      <c r="A161" s="225" t="b">
        <v>0</v>
      </c>
      <c r="B161" s="88" t="s">
        <v>682</v>
      </c>
      <c r="C161" s="216" t="s">
        <v>683</v>
      </c>
      <c r="D161" s="167" t="s">
        <v>684</v>
      </c>
      <c r="E161" s="88" t="s">
        <v>685</v>
      </c>
      <c r="I161" s="103"/>
      <c r="J161" s="190"/>
      <c r="K161" s="190"/>
      <c r="L161" s="190"/>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102"/>
      <c r="AQ161" s="102"/>
      <c r="AR161" s="102"/>
      <c r="AS161" s="102"/>
      <c r="AT161" s="102"/>
      <c r="AU161" s="102"/>
      <c r="AV161" s="102"/>
      <c r="AW161" s="102"/>
      <c r="AX161" s="102"/>
      <c r="AY161" s="102"/>
      <c r="AZ161" s="102"/>
      <c r="BA161" s="102"/>
    </row>
    <row r="162" spans="1:53" ht="41.25">
      <c r="A162" s="225" t="b">
        <v>0</v>
      </c>
      <c r="B162" s="88" t="s">
        <v>686</v>
      </c>
      <c r="C162" s="216" t="s">
        <v>687</v>
      </c>
      <c r="D162" s="167" t="s">
        <v>688</v>
      </c>
      <c r="E162" s="88" t="s">
        <v>689</v>
      </c>
      <c r="I162" s="103"/>
      <c r="J162" s="190"/>
      <c r="K162" s="190"/>
      <c r="L162" s="190"/>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102"/>
      <c r="AQ162" s="102"/>
      <c r="AR162" s="102"/>
      <c r="AS162" s="102"/>
      <c r="AT162" s="102"/>
      <c r="AU162" s="102"/>
      <c r="AV162" s="102"/>
      <c r="AW162" s="102"/>
      <c r="AX162" s="102"/>
      <c r="AY162" s="102"/>
      <c r="AZ162" s="102"/>
      <c r="BA162" s="102"/>
    </row>
    <row r="163" spans="1:53" ht="27.75">
      <c r="A163" s="225" t="b">
        <v>0</v>
      </c>
      <c r="B163" s="272" t="s">
        <v>690</v>
      </c>
      <c r="C163" s="216" t="s">
        <v>691</v>
      </c>
      <c r="D163" s="88" t="s">
        <v>692</v>
      </c>
      <c r="E163" s="272" t="s">
        <v>693</v>
      </c>
      <c r="I163" s="103"/>
      <c r="J163" s="190"/>
      <c r="K163" s="190"/>
      <c r="L163" s="190"/>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102"/>
      <c r="AQ163" s="102"/>
      <c r="AR163" s="102"/>
      <c r="AS163" s="102"/>
      <c r="AT163" s="102"/>
      <c r="AU163" s="102"/>
      <c r="AV163" s="102"/>
      <c r="AW163" s="102"/>
      <c r="AX163" s="102"/>
      <c r="AY163" s="102"/>
      <c r="AZ163" s="102"/>
      <c r="BA163" s="102"/>
    </row>
    <row r="164" spans="1:53" ht="27.75">
      <c r="A164" s="225" t="b">
        <v>0</v>
      </c>
      <c r="B164" s="272"/>
      <c r="C164" s="216" t="s">
        <v>694</v>
      </c>
      <c r="D164" s="88" t="s">
        <v>695</v>
      </c>
      <c r="E164" s="272"/>
      <c r="I164" s="103"/>
      <c r="J164" s="190"/>
      <c r="K164" s="190"/>
      <c r="L164" s="190"/>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c r="AN164" s="102"/>
      <c r="AO164" s="102"/>
      <c r="AP164" s="102"/>
      <c r="AQ164" s="102"/>
      <c r="AR164" s="102"/>
      <c r="AS164" s="102"/>
      <c r="AT164" s="102"/>
      <c r="AU164" s="102"/>
      <c r="AV164" s="102"/>
      <c r="AW164" s="102"/>
      <c r="AX164" s="102"/>
      <c r="AY164" s="102"/>
      <c r="AZ164" s="102"/>
      <c r="BA164" s="102"/>
    </row>
    <row r="165" spans="1:53" ht="27.75">
      <c r="A165" s="225" t="b">
        <v>0</v>
      </c>
      <c r="B165" s="272"/>
      <c r="C165" s="216" t="s">
        <v>696</v>
      </c>
      <c r="D165" s="88" t="s">
        <v>697</v>
      </c>
      <c r="E165" s="272"/>
      <c r="I165" s="103"/>
      <c r="J165" s="190"/>
      <c r="K165" s="190"/>
      <c r="L165" s="190"/>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02"/>
      <c r="AK165" s="102"/>
      <c r="AL165" s="102"/>
      <c r="AM165" s="102"/>
      <c r="AN165" s="102"/>
      <c r="AO165" s="102"/>
      <c r="AP165" s="102"/>
      <c r="AQ165" s="102"/>
      <c r="AR165" s="102"/>
      <c r="AS165" s="102"/>
      <c r="AT165" s="102"/>
      <c r="AU165" s="102"/>
      <c r="AV165" s="102"/>
      <c r="AW165" s="102"/>
      <c r="AX165" s="102"/>
      <c r="AY165" s="102"/>
      <c r="AZ165" s="102"/>
      <c r="BA165" s="102"/>
    </row>
    <row r="166" spans="1:53" ht="54.75">
      <c r="A166" s="225" t="b">
        <v>0</v>
      </c>
      <c r="B166" s="274" t="s">
        <v>698</v>
      </c>
      <c r="C166" s="217" t="s">
        <v>699</v>
      </c>
      <c r="D166" s="170" t="s">
        <v>700</v>
      </c>
      <c r="E166" s="90" t="s">
        <v>701</v>
      </c>
      <c r="F166" s="269" t="s">
        <v>702</v>
      </c>
      <c r="I166" s="103"/>
      <c r="J166" s="190"/>
      <c r="K166" s="190"/>
      <c r="L166" s="190"/>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02"/>
      <c r="AJ166" s="102"/>
      <c r="AK166" s="102"/>
      <c r="AL166" s="102"/>
      <c r="AM166" s="102"/>
      <c r="AN166" s="102"/>
      <c r="AO166" s="102"/>
      <c r="AP166" s="102"/>
      <c r="AQ166" s="102"/>
      <c r="AR166" s="102"/>
      <c r="AS166" s="102"/>
      <c r="AT166" s="102"/>
      <c r="AU166" s="102"/>
      <c r="AV166" s="102"/>
      <c r="AW166" s="102"/>
      <c r="AX166" s="102"/>
      <c r="AY166" s="102"/>
      <c r="AZ166" s="102"/>
      <c r="BA166" s="102"/>
    </row>
    <row r="167" spans="1:53" ht="68.25">
      <c r="A167" s="225" t="b">
        <v>0</v>
      </c>
      <c r="B167" s="274"/>
      <c r="C167" s="231" t="s">
        <v>703</v>
      </c>
      <c r="D167" s="170" t="s">
        <v>704</v>
      </c>
      <c r="E167" s="90" t="s">
        <v>705</v>
      </c>
      <c r="F167" s="269"/>
      <c r="I167" s="103"/>
      <c r="J167" s="190"/>
      <c r="K167" s="190"/>
      <c r="L167" s="190"/>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c r="AN167" s="102"/>
      <c r="AO167" s="102"/>
      <c r="AP167" s="102"/>
      <c r="AQ167" s="102"/>
      <c r="AR167" s="102"/>
      <c r="AS167" s="102"/>
      <c r="AT167" s="102"/>
      <c r="AU167" s="102"/>
      <c r="AV167" s="102"/>
      <c r="AW167" s="102"/>
      <c r="AX167" s="102"/>
      <c r="AY167" s="102"/>
      <c r="AZ167" s="102"/>
      <c r="BA167" s="102"/>
    </row>
    <row r="168" spans="1:53" ht="68.25">
      <c r="A168" s="225" t="b">
        <v>0</v>
      </c>
      <c r="B168" s="108" t="s">
        <v>706</v>
      </c>
      <c r="C168" s="186" t="s">
        <v>707</v>
      </c>
      <c r="D168" s="108" t="s">
        <v>708</v>
      </c>
      <c r="E168" s="112" t="s">
        <v>532</v>
      </c>
      <c r="F168" s="108" t="s">
        <v>709</v>
      </c>
      <c r="I168" s="103"/>
      <c r="J168" s="190"/>
      <c r="K168" s="190"/>
      <c r="L168" s="190"/>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c r="AN168" s="102"/>
      <c r="AO168" s="102"/>
      <c r="AP168" s="102"/>
      <c r="AQ168" s="102"/>
      <c r="AR168" s="102"/>
      <c r="AS168" s="102"/>
      <c r="AT168" s="102"/>
      <c r="AU168" s="102"/>
      <c r="AV168" s="102"/>
      <c r="AW168" s="102"/>
      <c r="AX168" s="102"/>
      <c r="AY168" s="102"/>
      <c r="AZ168" s="102"/>
      <c r="BA168" s="102"/>
    </row>
    <row r="169" spans="1:53" ht="41.25">
      <c r="A169" s="225" t="b">
        <v>0</v>
      </c>
      <c r="B169" s="108" t="s">
        <v>710</v>
      </c>
      <c r="C169" s="186" t="s">
        <v>711</v>
      </c>
      <c r="D169" s="108" t="s">
        <v>712</v>
      </c>
      <c r="E169" s="108" t="s">
        <v>713</v>
      </c>
      <c r="G169" s="102"/>
      <c r="I169" s="103"/>
      <c r="J169" s="190"/>
      <c r="K169" s="190"/>
      <c r="L169" s="190"/>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102"/>
      <c r="AY169" s="102"/>
      <c r="AZ169" s="102"/>
      <c r="BA169" s="102"/>
    </row>
    <row r="170" spans="1:53" ht="41.25">
      <c r="A170" s="225" t="b">
        <v>0</v>
      </c>
      <c r="B170" s="108" t="s">
        <v>714</v>
      </c>
      <c r="C170" s="186" t="s">
        <v>715</v>
      </c>
      <c r="D170" s="108" t="s">
        <v>716</v>
      </c>
      <c r="E170" s="108" t="s">
        <v>717</v>
      </c>
      <c r="G170" s="102"/>
      <c r="I170" s="103"/>
      <c r="J170" s="190"/>
      <c r="K170" s="190"/>
      <c r="L170" s="190"/>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02"/>
      <c r="AK170" s="102"/>
      <c r="AL170" s="102"/>
      <c r="AM170" s="102"/>
      <c r="AN170" s="102"/>
      <c r="AO170" s="102"/>
      <c r="AP170" s="102"/>
      <c r="AQ170" s="102"/>
      <c r="AR170" s="102"/>
      <c r="AS170" s="102"/>
      <c r="AT170" s="102"/>
      <c r="AU170" s="102"/>
      <c r="AV170" s="102"/>
      <c r="AW170" s="102"/>
      <c r="AX170" s="102"/>
      <c r="AY170" s="102"/>
      <c r="AZ170" s="102"/>
      <c r="BA170" s="102"/>
    </row>
    <row r="171" spans="1:53" ht="54.75">
      <c r="A171" s="225" t="b">
        <v>0</v>
      </c>
      <c r="B171" s="108" t="s">
        <v>718</v>
      </c>
      <c r="C171" s="186" t="s">
        <v>719</v>
      </c>
      <c r="D171" s="108" t="s">
        <v>720</v>
      </c>
      <c r="E171" s="108" t="s">
        <v>721</v>
      </c>
      <c r="G171" s="102"/>
      <c r="I171" s="103"/>
      <c r="J171" s="190"/>
      <c r="K171" s="190"/>
      <c r="L171" s="190"/>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02"/>
      <c r="AK171" s="102"/>
      <c r="AL171" s="102"/>
      <c r="AM171" s="102"/>
      <c r="AN171" s="102"/>
      <c r="AO171" s="102"/>
      <c r="AP171" s="102"/>
      <c r="AQ171" s="102"/>
      <c r="AR171" s="102"/>
      <c r="AS171" s="102"/>
      <c r="AT171" s="102"/>
      <c r="AU171" s="102"/>
      <c r="AV171" s="102"/>
      <c r="AW171" s="102"/>
      <c r="AX171" s="102"/>
      <c r="AY171" s="102"/>
      <c r="AZ171" s="102"/>
      <c r="BA171" s="102"/>
    </row>
    <row r="172" spans="1:53" ht="41.25">
      <c r="A172" s="225" t="b">
        <v>0</v>
      </c>
      <c r="B172" s="171" t="s">
        <v>722</v>
      </c>
      <c r="C172" s="186" t="s">
        <v>723</v>
      </c>
      <c r="D172" s="108" t="s">
        <v>724</v>
      </c>
      <c r="E172" s="108" t="s">
        <v>725</v>
      </c>
      <c r="G172" s="102"/>
      <c r="I172" s="103"/>
      <c r="J172" s="190"/>
      <c r="K172" s="190"/>
      <c r="L172" s="190"/>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02"/>
      <c r="AJ172" s="102"/>
      <c r="AK172" s="102"/>
      <c r="AL172" s="102"/>
      <c r="AM172" s="102"/>
      <c r="AN172" s="102"/>
      <c r="AO172" s="102"/>
      <c r="AP172" s="102"/>
      <c r="AQ172" s="102"/>
      <c r="AR172" s="102"/>
      <c r="AS172" s="102"/>
      <c r="AT172" s="102"/>
      <c r="AU172" s="102"/>
      <c r="AV172" s="102"/>
      <c r="AW172" s="102"/>
      <c r="AX172" s="102"/>
      <c r="AY172" s="102"/>
      <c r="AZ172" s="102"/>
      <c r="BA172" s="102"/>
    </row>
    <row r="173" spans="1:53" ht="68.25" customHeight="1">
      <c r="A173" s="225" t="b">
        <v>0</v>
      </c>
      <c r="B173" s="108" t="s">
        <v>726</v>
      </c>
      <c r="C173" s="186" t="s">
        <v>727</v>
      </c>
      <c r="D173" s="108" t="s">
        <v>728</v>
      </c>
      <c r="E173" s="108" t="s">
        <v>729</v>
      </c>
      <c r="G173" s="102"/>
      <c r="I173" s="103"/>
      <c r="J173" s="190"/>
      <c r="K173" s="190"/>
      <c r="L173" s="190"/>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02"/>
      <c r="AJ173" s="102"/>
      <c r="AK173" s="102"/>
      <c r="AL173" s="102"/>
      <c r="AM173" s="102"/>
      <c r="AN173" s="102"/>
      <c r="AO173" s="102"/>
      <c r="AP173" s="102"/>
      <c r="AQ173" s="102"/>
      <c r="AR173" s="102"/>
      <c r="AS173" s="102"/>
      <c r="AT173" s="102"/>
      <c r="AU173" s="102"/>
      <c r="AV173" s="102"/>
      <c r="AW173" s="102"/>
      <c r="AX173" s="102"/>
      <c r="AY173" s="102"/>
      <c r="AZ173" s="102"/>
      <c r="BA173" s="102"/>
    </row>
    <row r="174" spans="1:53" ht="13.5">
      <c r="A174" s="225" t="b">
        <v>0</v>
      </c>
      <c r="B174" s="89" t="s">
        <v>730</v>
      </c>
      <c r="C174" s="232" t="s">
        <v>731</v>
      </c>
      <c r="D174" s="277" t="s">
        <v>732</v>
      </c>
      <c r="E174" s="271" t="s">
        <v>733</v>
      </c>
      <c r="G174" s="102"/>
      <c r="I174" s="103"/>
      <c r="J174" s="190"/>
      <c r="K174" s="190"/>
      <c r="L174" s="190"/>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102"/>
      <c r="AO174" s="102"/>
      <c r="AP174" s="102"/>
      <c r="AQ174" s="102"/>
      <c r="AR174" s="102"/>
      <c r="AS174" s="102"/>
      <c r="AT174" s="102"/>
      <c r="AU174" s="102"/>
      <c r="AV174" s="102"/>
      <c r="AW174" s="102"/>
      <c r="AX174" s="102"/>
      <c r="AY174" s="102"/>
      <c r="AZ174" s="102"/>
      <c r="BA174" s="102"/>
    </row>
    <row r="175" spans="1:53" ht="26.25" customHeight="1">
      <c r="A175" s="225" t="b">
        <v>0</v>
      </c>
      <c r="B175" s="91"/>
      <c r="C175" s="232" t="s">
        <v>734</v>
      </c>
      <c r="D175" s="278"/>
      <c r="E175" s="271"/>
      <c r="G175" s="102"/>
      <c r="I175" s="103"/>
      <c r="J175" s="190"/>
      <c r="K175" s="190"/>
      <c r="L175" s="190"/>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102"/>
      <c r="AO175" s="102"/>
      <c r="AP175" s="102"/>
      <c r="AQ175" s="102"/>
      <c r="AR175" s="102"/>
      <c r="AS175" s="102"/>
      <c r="AT175" s="102"/>
      <c r="AU175" s="102"/>
      <c r="AV175" s="102"/>
      <c r="AW175" s="102"/>
      <c r="AX175" s="102"/>
      <c r="AY175" s="102"/>
      <c r="AZ175" s="102"/>
      <c r="BA175" s="102"/>
    </row>
    <row r="176" spans="1:53" ht="27.75">
      <c r="A176" s="225" t="b">
        <v>0</v>
      </c>
      <c r="B176" s="108" t="s">
        <v>735</v>
      </c>
      <c r="C176" s="186" t="s">
        <v>736</v>
      </c>
      <c r="D176" s="108" t="s">
        <v>737</v>
      </c>
      <c r="E176" s="108" t="s">
        <v>738</v>
      </c>
      <c r="G176" s="102"/>
      <c r="I176" s="103"/>
      <c r="J176" s="190"/>
      <c r="K176" s="190"/>
      <c r="L176" s="190"/>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02"/>
      <c r="AO176" s="102"/>
      <c r="AP176" s="102"/>
      <c r="AQ176" s="102"/>
      <c r="AR176" s="102"/>
      <c r="AS176" s="102"/>
      <c r="AT176" s="102"/>
      <c r="AU176" s="102"/>
      <c r="AV176" s="102"/>
      <c r="AW176" s="102"/>
      <c r="AX176" s="102"/>
      <c r="AY176" s="102"/>
      <c r="AZ176" s="102"/>
      <c r="BA176" s="102"/>
    </row>
    <row r="177" spans="1:53" ht="96.75">
      <c r="A177" s="225" t="b">
        <v>0</v>
      </c>
      <c r="B177" s="127" t="s">
        <v>739</v>
      </c>
      <c r="C177" s="205" t="s">
        <v>740</v>
      </c>
      <c r="D177" s="127" t="s">
        <v>741</v>
      </c>
      <c r="E177" s="127" t="s">
        <v>742</v>
      </c>
      <c r="F177" s="127" t="s">
        <v>743</v>
      </c>
      <c r="G177" s="102"/>
      <c r="I177" s="103"/>
      <c r="J177" s="190"/>
      <c r="K177" s="190"/>
      <c r="L177" s="190"/>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02"/>
      <c r="AO177" s="102"/>
      <c r="AP177" s="102"/>
      <c r="AQ177" s="102"/>
      <c r="AR177" s="102"/>
      <c r="AS177" s="102"/>
      <c r="AT177" s="102"/>
      <c r="AU177" s="102"/>
      <c r="AV177" s="102"/>
      <c r="AW177" s="102"/>
      <c r="AX177" s="102"/>
      <c r="AY177" s="102"/>
      <c r="AZ177" s="102"/>
      <c r="BA177" s="102"/>
    </row>
    <row r="178" spans="1:53" ht="83.25">
      <c r="A178" s="225" t="b">
        <v>0</v>
      </c>
      <c r="B178" s="127" t="s">
        <v>744</v>
      </c>
      <c r="C178" s="205" t="s">
        <v>558</v>
      </c>
      <c r="D178" s="127" t="s">
        <v>745</v>
      </c>
      <c r="E178" s="127" t="s">
        <v>746</v>
      </c>
      <c r="G178" s="102"/>
      <c r="I178" s="103"/>
      <c r="J178" s="190"/>
      <c r="K178" s="190"/>
      <c r="L178" s="190"/>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02"/>
      <c r="AO178" s="102"/>
      <c r="AP178" s="102"/>
      <c r="AQ178" s="102"/>
      <c r="AR178" s="102"/>
      <c r="AS178" s="102"/>
      <c r="AT178" s="102"/>
      <c r="AU178" s="102"/>
      <c r="AV178" s="102"/>
      <c r="AW178" s="102"/>
      <c r="AX178" s="102"/>
      <c r="AY178" s="102"/>
      <c r="AZ178" s="102"/>
      <c r="BA178" s="102"/>
    </row>
    <row r="179" spans="1:53">
      <c r="A179" s="225" t="b">
        <v>0</v>
      </c>
      <c r="B179" s="171"/>
      <c r="G179" s="102"/>
      <c r="I179" s="103"/>
      <c r="J179" s="190"/>
      <c r="K179" s="190"/>
      <c r="L179" s="190"/>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02"/>
      <c r="AO179" s="102"/>
      <c r="AP179" s="102"/>
      <c r="AQ179" s="102"/>
      <c r="AR179" s="102"/>
      <c r="AS179" s="102"/>
      <c r="AT179" s="102"/>
      <c r="AU179" s="102"/>
      <c r="AV179" s="102"/>
      <c r="AW179" s="102"/>
      <c r="AX179" s="102"/>
      <c r="AY179" s="102"/>
      <c r="AZ179" s="102"/>
      <c r="BA179" s="102"/>
    </row>
    <row r="180" spans="1:53">
      <c r="A180" s="225" t="b">
        <v>0</v>
      </c>
      <c r="B180" s="171"/>
      <c r="G180" s="102"/>
      <c r="I180" s="103"/>
      <c r="J180" s="190"/>
      <c r="K180" s="190"/>
      <c r="L180" s="190"/>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02"/>
      <c r="AJ180" s="102"/>
      <c r="AK180" s="102"/>
      <c r="AL180" s="102"/>
      <c r="AM180" s="102"/>
      <c r="AN180" s="102"/>
      <c r="AO180" s="102"/>
      <c r="AP180" s="102"/>
      <c r="AQ180" s="102"/>
      <c r="AR180" s="102"/>
      <c r="AS180" s="102"/>
      <c r="AT180" s="102"/>
      <c r="AU180" s="102"/>
      <c r="AV180" s="102"/>
      <c r="AW180" s="102"/>
      <c r="AX180" s="102"/>
      <c r="AY180" s="102"/>
      <c r="AZ180" s="102"/>
      <c r="BA180" s="102"/>
    </row>
    <row r="181" spans="1:53">
      <c r="A181" s="225" t="b">
        <v>0</v>
      </c>
      <c r="B181" s="171"/>
      <c r="G181" s="102"/>
      <c r="I181" s="103"/>
      <c r="J181" s="190"/>
      <c r="K181" s="190"/>
      <c r="L181" s="190"/>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02"/>
      <c r="AJ181" s="102"/>
      <c r="AK181" s="102"/>
      <c r="AL181" s="102"/>
      <c r="AM181" s="102"/>
      <c r="AN181" s="102"/>
      <c r="AO181" s="102"/>
      <c r="AP181" s="102"/>
      <c r="AQ181" s="102"/>
      <c r="AR181" s="102"/>
      <c r="AS181" s="102"/>
      <c r="AT181" s="102"/>
      <c r="AU181" s="102"/>
      <c r="AV181" s="102"/>
      <c r="AW181" s="102"/>
      <c r="AX181" s="102"/>
      <c r="AY181" s="102"/>
      <c r="AZ181" s="102"/>
      <c r="BA181" s="102"/>
    </row>
    <row r="182" spans="1:53">
      <c r="A182" s="225" t="b">
        <v>0</v>
      </c>
      <c r="B182" s="171"/>
      <c r="G182" s="102"/>
      <c r="I182" s="103"/>
      <c r="J182" s="190"/>
      <c r="K182" s="190"/>
      <c r="L182" s="190"/>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02"/>
      <c r="AJ182" s="102"/>
      <c r="AK182" s="102"/>
      <c r="AL182" s="102"/>
      <c r="AM182" s="102"/>
      <c r="AN182" s="102"/>
      <c r="AO182" s="102"/>
      <c r="AP182" s="102"/>
      <c r="AQ182" s="102"/>
      <c r="AR182" s="102"/>
      <c r="AS182" s="102"/>
      <c r="AT182" s="102"/>
      <c r="AU182" s="102"/>
      <c r="AV182" s="102"/>
      <c r="AW182" s="102"/>
      <c r="AX182" s="102"/>
      <c r="AY182" s="102"/>
      <c r="AZ182" s="102"/>
      <c r="BA182" s="102"/>
    </row>
    <row r="183" spans="1:53">
      <c r="A183" s="225" t="b">
        <v>0</v>
      </c>
      <c r="B183" s="171"/>
      <c r="G183" s="102"/>
      <c r="I183" s="103"/>
      <c r="J183" s="190"/>
      <c r="K183" s="190"/>
      <c r="L183" s="190"/>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02"/>
      <c r="AJ183" s="102"/>
      <c r="AK183" s="102"/>
      <c r="AL183" s="102"/>
      <c r="AM183" s="102"/>
      <c r="AN183" s="102"/>
      <c r="AO183" s="102"/>
      <c r="AP183" s="102"/>
      <c r="AQ183" s="102"/>
      <c r="AR183" s="102"/>
      <c r="AS183" s="102"/>
      <c r="AT183" s="102"/>
      <c r="AU183" s="102"/>
      <c r="AV183" s="102"/>
      <c r="AW183" s="102"/>
      <c r="AX183" s="102"/>
      <c r="AY183" s="102"/>
      <c r="AZ183" s="102"/>
      <c r="BA183" s="102"/>
    </row>
    <row r="184" spans="1:53">
      <c r="A184" s="225" t="b">
        <v>0</v>
      </c>
      <c r="B184" s="171"/>
      <c r="G184" s="102"/>
      <c r="I184" s="103"/>
      <c r="J184" s="190"/>
      <c r="K184" s="190"/>
      <c r="L184" s="190"/>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02"/>
      <c r="AK184" s="102"/>
      <c r="AL184" s="102"/>
      <c r="AM184" s="102"/>
      <c r="AN184" s="102"/>
      <c r="AO184" s="102"/>
      <c r="AP184" s="102"/>
      <c r="AQ184" s="102"/>
      <c r="AR184" s="102"/>
      <c r="AS184" s="102"/>
      <c r="AT184" s="102"/>
      <c r="AU184" s="102"/>
      <c r="AV184" s="102"/>
      <c r="AW184" s="102"/>
      <c r="AX184" s="102"/>
      <c r="AY184" s="102"/>
      <c r="AZ184" s="102"/>
      <c r="BA184" s="102"/>
    </row>
    <row r="185" spans="1:53">
      <c r="A185" s="225" t="b">
        <v>0</v>
      </c>
      <c r="B185" s="171"/>
      <c r="G185" s="102"/>
      <c r="I185" s="103"/>
      <c r="J185" s="190"/>
      <c r="K185" s="190"/>
      <c r="L185" s="190"/>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02"/>
      <c r="AJ185" s="102"/>
      <c r="AK185" s="102"/>
      <c r="AL185" s="102"/>
      <c r="AM185" s="102"/>
      <c r="AN185" s="102"/>
      <c r="AO185" s="102"/>
      <c r="AP185" s="102"/>
      <c r="AQ185" s="102"/>
      <c r="AR185" s="102"/>
      <c r="AS185" s="102"/>
      <c r="AT185" s="102"/>
      <c r="AU185" s="102"/>
      <c r="AV185" s="102"/>
      <c r="AW185" s="102"/>
      <c r="AX185" s="102"/>
      <c r="AY185" s="102"/>
      <c r="AZ185" s="102"/>
      <c r="BA185" s="102"/>
    </row>
    <row r="186" spans="1:53">
      <c r="A186" s="225" t="b">
        <v>0</v>
      </c>
      <c r="B186" s="171"/>
      <c r="G186" s="102"/>
      <c r="I186" s="103"/>
      <c r="J186" s="190"/>
      <c r="K186" s="190"/>
      <c r="L186" s="190"/>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02"/>
      <c r="AJ186" s="102"/>
      <c r="AK186" s="102"/>
      <c r="AL186" s="102"/>
      <c r="AM186" s="102"/>
      <c r="AN186" s="102"/>
      <c r="AO186" s="102"/>
      <c r="AP186" s="102"/>
      <c r="AQ186" s="102"/>
      <c r="AR186" s="102"/>
      <c r="AS186" s="102"/>
      <c r="AT186" s="102"/>
      <c r="AU186" s="102"/>
      <c r="AV186" s="102"/>
      <c r="AW186" s="102"/>
      <c r="AX186" s="102"/>
      <c r="AY186" s="102"/>
      <c r="AZ186" s="102"/>
      <c r="BA186" s="102"/>
    </row>
    <row r="187" spans="1:53">
      <c r="A187" s="225" t="b">
        <v>0</v>
      </c>
      <c r="B187" s="171"/>
      <c r="G187" s="102"/>
      <c r="I187" s="103"/>
      <c r="J187" s="190"/>
      <c r="K187" s="190"/>
      <c r="L187" s="190"/>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02"/>
      <c r="AK187" s="102"/>
      <c r="AL187" s="102"/>
      <c r="AM187" s="102"/>
      <c r="AN187" s="102"/>
      <c r="AO187" s="102"/>
      <c r="AP187" s="102"/>
      <c r="AQ187" s="102"/>
      <c r="AR187" s="102"/>
      <c r="AS187" s="102"/>
      <c r="AT187" s="102"/>
      <c r="AU187" s="102"/>
      <c r="AV187" s="102"/>
      <c r="AW187" s="102"/>
      <c r="AX187" s="102"/>
      <c r="AY187" s="102"/>
      <c r="AZ187" s="102"/>
      <c r="BA187" s="102"/>
    </row>
    <row r="188" spans="1:53">
      <c r="A188" s="225" t="b">
        <v>0</v>
      </c>
      <c r="B188" s="171"/>
      <c r="G188" s="102"/>
      <c r="I188" s="103"/>
      <c r="J188" s="190"/>
      <c r="K188" s="190"/>
      <c r="L188" s="190"/>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02"/>
      <c r="AK188" s="102"/>
      <c r="AL188" s="102"/>
      <c r="AM188" s="102"/>
      <c r="AN188" s="102"/>
      <c r="AO188" s="102"/>
      <c r="AP188" s="102"/>
      <c r="AQ188" s="102"/>
      <c r="AR188" s="102"/>
      <c r="AS188" s="102"/>
      <c r="AT188" s="102"/>
      <c r="AU188" s="102"/>
      <c r="AV188" s="102"/>
      <c r="AW188" s="102"/>
      <c r="AX188" s="102"/>
      <c r="AY188" s="102"/>
      <c r="AZ188" s="102"/>
      <c r="BA188" s="102"/>
    </row>
    <row r="189" spans="1:53">
      <c r="A189" s="225" t="b">
        <v>0</v>
      </c>
      <c r="B189" s="171"/>
      <c r="G189" s="102"/>
      <c r="I189" s="103"/>
      <c r="J189" s="190"/>
      <c r="K189" s="190"/>
      <c r="L189" s="190"/>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c r="AY189" s="102"/>
      <c r="AZ189" s="102"/>
      <c r="BA189" s="102"/>
    </row>
    <row r="190" spans="1:53">
      <c r="A190" s="225" t="b">
        <v>0</v>
      </c>
      <c r="B190" s="171"/>
      <c r="G190" s="102"/>
      <c r="I190" s="103"/>
      <c r="J190" s="190"/>
      <c r="K190" s="190"/>
      <c r="L190" s="190"/>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02"/>
      <c r="AJ190" s="102"/>
      <c r="AK190" s="102"/>
      <c r="AL190" s="102"/>
      <c r="AM190" s="102"/>
      <c r="AN190" s="102"/>
      <c r="AO190" s="102"/>
      <c r="AP190" s="102"/>
      <c r="AQ190" s="102"/>
      <c r="AR190" s="102"/>
      <c r="AS190" s="102"/>
      <c r="AT190" s="102"/>
      <c r="AU190" s="102"/>
      <c r="AV190" s="102"/>
      <c r="AW190" s="102"/>
      <c r="AX190" s="102"/>
      <c r="AY190" s="102"/>
      <c r="AZ190" s="102"/>
      <c r="BA190" s="102"/>
    </row>
    <row r="191" spans="1:53">
      <c r="A191" s="225" t="b">
        <v>0</v>
      </c>
      <c r="B191" s="171"/>
      <c r="G191" s="102"/>
      <c r="I191" s="103"/>
      <c r="J191" s="190"/>
      <c r="K191" s="190"/>
      <c r="L191" s="190"/>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02"/>
      <c r="AJ191" s="102"/>
      <c r="AK191" s="102"/>
      <c r="AL191" s="102"/>
      <c r="AM191" s="102"/>
      <c r="AN191" s="102"/>
      <c r="AO191" s="102"/>
      <c r="AP191" s="102"/>
      <c r="AQ191" s="102"/>
      <c r="AR191" s="102"/>
      <c r="AS191" s="102"/>
      <c r="AT191" s="102"/>
      <c r="AU191" s="102"/>
      <c r="AV191" s="102"/>
      <c r="AW191" s="102"/>
      <c r="AX191" s="102"/>
      <c r="AY191" s="102"/>
      <c r="AZ191" s="102"/>
      <c r="BA191" s="102"/>
    </row>
    <row r="192" spans="1:53">
      <c r="B192" s="171"/>
      <c r="G192" s="102"/>
      <c r="I192" s="103"/>
      <c r="J192" s="190"/>
      <c r="K192" s="190"/>
      <c r="L192" s="190"/>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02"/>
      <c r="AN192" s="102"/>
      <c r="AO192" s="102"/>
      <c r="AP192" s="102"/>
      <c r="AQ192" s="102"/>
      <c r="AR192" s="102"/>
      <c r="AS192" s="102"/>
      <c r="AT192" s="102"/>
      <c r="AU192" s="102"/>
      <c r="AV192" s="102"/>
      <c r="AW192" s="102"/>
      <c r="AX192" s="102"/>
      <c r="AY192" s="102"/>
      <c r="AZ192" s="102"/>
      <c r="BA192" s="102"/>
    </row>
    <row r="193" spans="2:53">
      <c r="B193" s="171"/>
      <c r="G193" s="102"/>
      <c r="I193" s="103"/>
      <c r="J193" s="190"/>
      <c r="K193" s="190"/>
      <c r="L193" s="190"/>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02"/>
      <c r="AK193" s="102"/>
      <c r="AL193" s="102"/>
      <c r="AM193" s="102"/>
      <c r="AN193" s="102"/>
      <c r="AO193" s="102"/>
      <c r="AP193" s="102"/>
      <c r="AQ193" s="102"/>
      <c r="AR193" s="102"/>
      <c r="AS193" s="102"/>
      <c r="AT193" s="102"/>
      <c r="AU193" s="102"/>
      <c r="AV193" s="102"/>
      <c r="AW193" s="102"/>
      <c r="AX193" s="102"/>
      <c r="AY193" s="102"/>
      <c r="AZ193" s="102"/>
      <c r="BA193" s="102"/>
    </row>
    <row r="194" spans="2:53">
      <c r="B194" s="171"/>
      <c r="G194" s="102"/>
      <c r="I194" s="103"/>
      <c r="J194" s="190"/>
      <c r="K194" s="190"/>
      <c r="L194" s="190"/>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c r="AN194" s="102"/>
      <c r="AO194" s="102"/>
      <c r="AP194" s="102"/>
      <c r="AQ194" s="102"/>
      <c r="AR194" s="102"/>
      <c r="AS194" s="102"/>
      <c r="AT194" s="102"/>
      <c r="AU194" s="102"/>
      <c r="AV194" s="102"/>
      <c r="AW194" s="102"/>
      <c r="AX194" s="102"/>
      <c r="AY194" s="102"/>
      <c r="AZ194" s="102"/>
      <c r="BA194" s="102"/>
    </row>
    <row r="195" spans="2:53">
      <c r="B195" s="171"/>
      <c r="G195" s="102"/>
      <c r="I195" s="103"/>
      <c r="J195" s="190"/>
      <c r="K195" s="190"/>
      <c r="L195" s="190"/>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c r="AN195" s="102"/>
      <c r="AO195" s="102"/>
      <c r="AP195" s="102"/>
      <c r="AQ195" s="102"/>
      <c r="AR195" s="102"/>
      <c r="AS195" s="102"/>
      <c r="AT195" s="102"/>
      <c r="AU195" s="102"/>
      <c r="AV195" s="102"/>
      <c r="AW195" s="102"/>
      <c r="AX195" s="102"/>
      <c r="AY195" s="102"/>
      <c r="AZ195" s="102"/>
      <c r="BA195" s="102"/>
    </row>
    <row r="196" spans="2:53">
      <c r="B196" s="171"/>
      <c r="G196" s="102"/>
      <c r="I196" s="103"/>
      <c r="J196" s="190"/>
      <c r="K196" s="190"/>
      <c r="L196" s="190"/>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c r="AN196" s="102"/>
      <c r="AO196" s="102"/>
      <c r="AP196" s="102"/>
      <c r="AQ196" s="102"/>
      <c r="AR196" s="102"/>
      <c r="AS196" s="102"/>
      <c r="AT196" s="102"/>
      <c r="AU196" s="102"/>
      <c r="AV196" s="102"/>
      <c r="AW196" s="102"/>
      <c r="AX196" s="102"/>
      <c r="AY196" s="102"/>
      <c r="AZ196" s="102"/>
      <c r="BA196" s="102"/>
    </row>
    <row r="197" spans="2:53">
      <c r="B197" s="171"/>
      <c r="G197" s="102"/>
      <c r="I197" s="103"/>
      <c r="J197" s="190"/>
      <c r="K197" s="190"/>
      <c r="L197" s="190"/>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c r="AN197" s="102"/>
      <c r="AO197" s="102"/>
      <c r="AP197" s="102"/>
      <c r="AQ197" s="102"/>
      <c r="AR197" s="102"/>
      <c r="AS197" s="102"/>
      <c r="AT197" s="102"/>
      <c r="AU197" s="102"/>
      <c r="AV197" s="102"/>
      <c r="AW197" s="102"/>
      <c r="AX197" s="102"/>
      <c r="AY197" s="102"/>
      <c r="AZ197" s="102"/>
      <c r="BA197" s="102"/>
    </row>
    <row r="198" spans="2:53">
      <c r="B198" s="171"/>
      <c r="G198" s="102"/>
      <c r="I198" s="103"/>
      <c r="J198" s="190"/>
      <c r="K198" s="190"/>
      <c r="L198" s="190"/>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02"/>
      <c r="AK198" s="102"/>
      <c r="AL198" s="102"/>
      <c r="AM198" s="102"/>
      <c r="AN198" s="102"/>
      <c r="AO198" s="102"/>
      <c r="AP198" s="102"/>
      <c r="AQ198" s="102"/>
      <c r="AR198" s="102"/>
      <c r="AS198" s="102"/>
      <c r="AT198" s="102"/>
      <c r="AU198" s="102"/>
      <c r="AV198" s="102"/>
      <c r="AW198" s="102"/>
      <c r="AX198" s="102"/>
      <c r="AY198" s="102"/>
      <c r="AZ198" s="102"/>
      <c r="BA198" s="102"/>
    </row>
    <row r="199" spans="2:53">
      <c r="B199" s="171"/>
      <c r="G199" s="102"/>
      <c r="I199" s="103"/>
      <c r="J199" s="190"/>
      <c r="K199" s="190"/>
      <c r="L199" s="190"/>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02"/>
      <c r="AK199" s="102"/>
      <c r="AL199" s="102"/>
      <c r="AM199" s="102"/>
      <c r="AN199" s="102"/>
      <c r="AO199" s="102"/>
      <c r="AP199" s="102"/>
      <c r="AQ199" s="102"/>
      <c r="AR199" s="102"/>
      <c r="AS199" s="102"/>
      <c r="AT199" s="102"/>
      <c r="AU199" s="102"/>
      <c r="AV199" s="102"/>
      <c r="AW199" s="102"/>
      <c r="AX199" s="102"/>
      <c r="AY199" s="102"/>
      <c r="AZ199" s="102"/>
      <c r="BA199" s="102"/>
    </row>
    <row r="200" spans="2:53">
      <c r="B200" s="171"/>
      <c r="G200" s="102"/>
      <c r="I200" s="103"/>
      <c r="J200" s="190"/>
      <c r="K200" s="190"/>
      <c r="L200" s="190"/>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c r="AN200" s="102"/>
      <c r="AO200" s="102"/>
      <c r="AP200" s="102"/>
      <c r="AQ200" s="102"/>
      <c r="AR200" s="102"/>
      <c r="AS200" s="102"/>
      <c r="AT200" s="102"/>
      <c r="AU200" s="102"/>
      <c r="AV200" s="102"/>
      <c r="AW200" s="102"/>
      <c r="AX200" s="102"/>
      <c r="AY200" s="102"/>
      <c r="AZ200" s="102"/>
      <c r="BA200" s="102"/>
    </row>
    <row r="201" spans="2:53">
      <c r="B201" s="171"/>
      <c r="G201" s="102"/>
      <c r="I201" s="103"/>
      <c r="J201" s="190"/>
      <c r="K201" s="190"/>
      <c r="L201" s="190"/>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c r="AN201" s="102"/>
      <c r="AO201" s="102"/>
      <c r="AP201" s="102"/>
      <c r="AQ201" s="102"/>
      <c r="AR201" s="102"/>
      <c r="AS201" s="102"/>
      <c r="AT201" s="102"/>
      <c r="AU201" s="102"/>
      <c r="AV201" s="102"/>
      <c r="AW201" s="102"/>
      <c r="AX201" s="102"/>
      <c r="AY201" s="102"/>
      <c r="AZ201" s="102"/>
      <c r="BA201" s="102"/>
    </row>
    <row r="202" spans="2:53">
      <c r="B202" s="171"/>
      <c r="G202" s="102"/>
      <c r="I202" s="103"/>
      <c r="J202" s="190"/>
      <c r="K202" s="190"/>
      <c r="L202" s="190"/>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02"/>
      <c r="AK202" s="102"/>
      <c r="AL202" s="102"/>
      <c r="AM202" s="102"/>
      <c r="AN202" s="102"/>
      <c r="AO202" s="102"/>
      <c r="AP202" s="102"/>
      <c r="AQ202" s="102"/>
      <c r="AR202" s="102"/>
      <c r="AS202" s="102"/>
      <c r="AT202" s="102"/>
      <c r="AU202" s="102"/>
      <c r="AV202" s="102"/>
      <c r="AW202" s="102"/>
      <c r="AX202" s="102"/>
      <c r="AY202" s="102"/>
      <c r="AZ202" s="102"/>
      <c r="BA202" s="102"/>
    </row>
    <row r="203" spans="2:53">
      <c r="B203" s="171"/>
      <c r="G203" s="102"/>
      <c r="I203" s="103"/>
      <c r="J203" s="190"/>
      <c r="K203" s="190"/>
      <c r="L203" s="190"/>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02"/>
      <c r="AK203" s="102"/>
      <c r="AL203" s="102"/>
      <c r="AM203" s="102"/>
      <c r="AN203" s="102"/>
      <c r="AO203" s="102"/>
      <c r="AP203" s="102"/>
      <c r="AQ203" s="102"/>
      <c r="AR203" s="102"/>
      <c r="AS203" s="102"/>
      <c r="AT203" s="102"/>
      <c r="AU203" s="102"/>
      <c r="AV203" s="102"/>
      <c r="AW203" s="102"/>
      <c r="AX203" s="102"/>
      <c r="AY203" s="102"/>
      <c r="AZ203" s="102"/>
      <c r="BA203" s="102"/>
    </row>
    <row r="204" spans="2:53">
      <c r="B204" s="171"/>
      <c r="G204" s="102"/>
      <c r="I204" s="103"/>
      <c r="J204" s="190"/>
      <c r="K204" s="190"/>
      <c r="L204" s="190"/>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c r="AN204" s="102"/>
      <c r="AO204" s="102"/>
      <c r="AP204" s="102"/>
      <c r="AQ204" s="102"/>
      <c r="AR204" s="102"/>
      <c r="AS204" s="102"/>
      <c r="AT204" s="102"/>
      <c r="AU204" s="102"/>
      <c r="AV204" s="102"/>
      <c r="AW204" s="102"/>
      <c r="AX204" s="102"/>
      <c r="AY204" s="102"/>
      <c r="AZ204" s="102"/>
      <c r="BA204" s="102"/>
    </row>
    <row r="205" spans="2:53">
      <c r="B205" s="171"/>
      <c r="G205" s="102"/>
      <c r="I205" s="103"/>
      <c r="J205" s="190"/>
      <c r="K205" s="190"/>
      <c r="L205" s="190"/>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c r="AN205" s="102"/>
      <c r="AO205" s="102"/>
      <c r="AP205" s="102"/>
      <c r="AQ205" s="102"/>
      <c r="AR205" s="102"/>
      <c r="AS205" s="102"/>
      <c r="AT205" s="102"/>
      <c r="AU205" s="102"/>
      <c r="AV205" s="102"/>
      <c r="AW205" s="102"/>
      <c r="AX205" s="102"/>
      <c r="AY205" s="102"/>
      <c r="AZ205" s="102"/>
      <c r="BA205" s="102"/>
    </row>
    <row r="206" spans="2:53">
      <c r="B206" s="171"/>
      <c r="G206" s="102"/>
      <c r="I206" s="103"/>
      <c r="J206" s="190"/>
      <c r="K206" s="190"/>
      <c r="L206" s="190"/>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102"/>
      <c r="AT206" s="102"/>
      <c r="AU206" s="102"/>
      <c r="AV206" s="102"/>
      <c r="AW206" s="102"/>
      <c r="AX206" s="102"/>
      <c r="AY206" s="102"/>
      <c r="AZ206" s="102"/>
      <c r="BA206" s="102"/>
    </row>
    <row r="207" spans="2:53">
      <c r="B207" s="171"/>
      <c r="G207" s="102"/>
      <c r="I207" s="103"/>
      <c r="J207" s="190"/>
      <c r="K207" s="190"/>
      <c r="L207" s="190"/>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row>
    <row r="208" spans="2:53">
      <c r="G208" s="102"/>
      <c r="I208" s="103"/>
      <c r="J208" s="190"/>
      <c r="K208" s="190"/>
      <c r="L208" s="190"/>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02"/>
      <c r="AK208" s="102"/>
      <c r="AL208" s="102"/>
      <c r="AM208" s="102"/>
      <c r="AN208" s="102"/>
      <c r="AO208" s="102"/>
      <c r="AP208" s="102"/>
      <c r="AQ208" s="102"/>
      <c r="AR208" s="102"/>
      <c r="AS208" s="102"/>
      <c r="AT208" s="102"/>
      <c r="AU208" s="102"/>
      <c r="AV208" s="102"/>
      <c r="AW208" s="102"/>
      <c r="AX208" s="102"/>
      <c r="AY208" s="102"/>
      <c r="AZ208" s="102"/>
      <c r="BA208" s="102"/>
    </row>
    <row r="209" spans="2:53">
      <c r="G209" s="102"/>
      <c r="I209" s="103"/>
      <c r="J209" s="190"/>
      <c r="K209" s="190"/>
      <c r="L209" s="190"/>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row>
    <row r="210" spans="2:53">
      <c r="G210" s="102"/>
      <c r="I210" s="103"/>
      <c r="J210" s="190"/>
      <c r="K210" s="190"/>
      <c r="L210" s="190"/>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c r="AY210" s="102"/>
      <c r="AZ210" s="102"/>
      <c r="BA210" s="102"/>
    </row>
    <row r="211" spans="2:53">
      <c r="G211" s="102"/>
      <c r="I211" s="103"/>
      <c r="J211" s="190"/>
      <c r="K211" s="190"/>
      <c r="L211" s="190"/>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row>
    <row r="212" spans="2:53">
      <c r="G212" s="102"/>
      <c r="I212" s="103"/>
      <c r="J212" s="190"/>
      <c r="K212" s="190"/>
      <c r="L212" s="190"/>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c r="AY212" s="102"/>
      <c r="AZ212" s="102"/>
      <c r="BA212" s="102"/>
    </row>
    <row r="213" spans="2:53">
      <c r="G213" s="102"/>
      <c r="I213" s="103"/>
      <c r="J213" s="190"/>
      <c r="K213" s="190"/>
      <c r="L213" s="190"/>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c r="AN213" s="102"/>
      <c r="AO213" s="102"/>
      <c r="AP213" s="102"/>
      <c r="AQ213" s="102"/>
      <c r="AR213" s="102"/>
      <c r="AS213" s="102"/>
      <c r="AT213" s="102"/>
      <c r="AU213" s="102"/>
      <c r="AV213" s="102"/>
      <c r="AW213" s="102"/>
      <c r="AX213" s="102"/>
      <c r="AY213" s="102"/>
      <c r="AZ213" s="102"/>
      <c r="BA213" s="102"/>
    </row>
    <row r="214" spans="2:53">
      <c r="G214" s="102"/>
      <c r="I214" s="103"/>
      <c r="J214" s="190"/>
      <c r="K214" s="190"/>
      <c r="L214" s="190"/>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c r="AN214" s="102"/>
      <c r="AO214" s="102"/>
      <c r="AP214" s="102"/>
      <c r="AQ214" s="102"/>
      <c r="AR214" s="102"/>
      <c r="AS214" s="102"/>
      <c r="AT214" s="102"/>
      <c r="AU214" s="102"/>
      <c r="AV214" s="102"/>
      <c r="AW214" s="102"/>
      <c r="AX214" s="102"/>
      <c r="AY214" s="102"/>
      <c r="AZ214" s="102"/>
      <c r="BA214" s="102"/>
    </row>
    <row r="215" spans="2:53">
      <c r="G215" s="102"/>
      <c r="I215" s="103"/>
      <c r="J215" s="190"/>
      <c r="K215" s="190"/>
      <c r="L215" s="190"/>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c r="AN215" s="102"/>
      <c r="AO215" s="102"/>
      <c r="AP215" s="102"/>
      <c r="AQ215" s="102"/>
      <c r="AR215" s="102"/>
      <c r="AS215" s="102"/>
      <c r="AT215" s="102"/>
      <c r="AU215" s="102"/>
      <c r="AV215" s="102"/>
      <c r="AW215" s="102"/>
      <c r="AX215" s="102"/>
      <c r="AY215" s="102"/>
      <c r="AZ215" s="102"/>
      <c r="BA215" s="102"/>
    </row>
    <row r="216" spans="2:53">
      <c r="G216" s="102"/>
      <c r="I216" s="103"/>
      <c r="J216" s="190"/>
      <c r="K216" s="190"/>
      <c r="L216" s="190"/>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c r="AN216" s="102"/>
      <c r="AO216" s="102"/>
      <c r="AP216" s="102"/>
      <c r="AQ216" s="102"/>
      <c r="AR216" s="102"/>
      <c r="AS216" s="102"/>
      <c r="AT216" s="102"/>
      <c r="AU216" s="102"/>
      <c r="AV216" s="102"/>
      <c r="AW216" s="102"/>
      <c r="AX216" s="102"/>
      <c r="AY216" s="102"/>
      <c r="AZ216" s="102"/>
      <c r="BA216" s="102"/>
    </row>
    <row r="217" spans="2:53">
      <c r="G217" s="102"/>
      <c r="I217" s="103"/>
      <c r="J217" s="190"/>
      <c r="K217" s="190"/>
      <c r="L217" s="190"/>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c r="AN217" s="102"/>
      <c r="AO217" s="102"/>
      <c r="AP217" s="102"/>
      <c r="AQ217" s="102"/>
      <c r="AR217" s="102"/>
      <c r="AS217" s="102"/>
      <c r="AT217" s="102"/>
      <c r="AU217" s="102"/>
      <c r="AV217" s="102"/>
      <c r="AW217" s="102"/>
      <c r="AX217" s="102"/>
      <c r="AY217" s="102"/>
      <c r="AZ217" s="102"/>
      <c r="BA217" s="102"/>
    </row>
    <row r="218" spans="2:53">
      <c r="G218" s="102"/>
      <c r="I218" s="103"/>
      <c r="J218" s="190"/>
      <c r="K218" s="190"/>
      <c r="L218" s="190"/>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02"/>
      <c r="AK218" s="102"/>
      <c r="AL218" s="102"/>
      <c r="AM218" s="102"/>
      <c r="AN218" s="102"/>
      <c r="AO218" s="102"/>
      <c r="AP218" s="102"/>
      <c r="AQ218" s="102"/>
      <c r="AR218" s="102"/>
      <c r="AS218" s="102"/>
      <c r="AT218" s="102"/>
      <c r="AU218" s="102"/>
      <c r="AV218" s="102"/>
      <c r="AW218" s="102"/>
      <c r="AX218" s="102"/>
      <c r="AY218" s="102"/>
      <c r="AZ218" s="102"/>
      <c r="BA218" s="102"/>
    </row>
    <row r="219" spans="2:53">
      <c r="G219" s="102"/>
      <c r="I219" s="103"/>
      <c r="J219" s="190"/>
      <c r="K219" s="190"/>
      <c r="L219" s="190"/>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02"/>
      <c r="AK219" s="102"/>
      <c r="AL219" s="102"/>
      <c r="AM219" s="102"/>
      <c r="AN219" s="102"/>
      <c r="AO219" s="102"/>
      <c r="AP219" s="102"/>
      <c r="AQ219" s="102"/>
      <c r="AR219" s="102"/>
      <c r="AS219" s="102"/>
      <c r="AT219" s="102"/>
      <c r="AU219" s="102"/>
      <c r="AV219" s="102"/>
      <c r="AW219" s="102"/>
      <c r="AX219" s="102"/>
      <c r="AY219" s="102"/>
      <c r="AZ219" s="102"/>
      <c r="BA219" s="102"/>
    </row>
    <row r="220" spans="2:53">
      <c r="G220" s="102"/>
      <c r="I220" s="103"/>
      <c r="J220" s="190"/>
      <c r="K220" s="190"/>
      <c r="L220" s="190"/>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02"/>
      <c r="AK220" s="102"/>
      <c r="AL220" s="102"/>
      <c r="AM220" s="102"/>
      <c r="AN220" s="102"/>
      <c r="AO220" s="102"/>
      <c r="AP220" s="102"/>
      <c r="AQ220" s="102"/>
      <c r="AR220" s="102"/>
      <c r="AS220" s="102"/>
      <c r="AT220" s="102"/>
      <c r="AU220" s="102"/>
      <c r="AV220" s="102"/>
      <c r="AW220" s="102"/>
      <c r="AX220" s="102"/>
      <c r="AY220" s="102"/>
      <c r="AZ220" s="102"/>
      <c r="BA220" s="102"/>
    </row>
    <row r="221" spans="2:53">
      <c r="G221" s="102"/>
      <c r="I221" s="103"/>
      <c r="J221" s="190"/>
      <c r="K221" s="190"/>
      <c r="L221" s="190"/>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02"/>
      <c r="AK221" s="102"/>
      <c r="AL221" s="102"/>
      <c r="AM221" s="102"/>
      <c r="AN221" s="102"/>
      <c r="AO221" s="102"/>
      <c r="AP221" s="102"/>
      <c r="AQ221" s="102"/>
      <c r="AR221" s="102"/>
      <c r="AS221" s="102"/>
      <c r="AT221" s="102"/>
      <c r="AU221" s="102"/>
      <c r="AV221" s="102"/>
      <c r="AW221" s="102"/>
      <c r="AX221" s="102"/>
      <c r="AY221" s="102"/>
      <c r="AZ221" s="102"/>
      <c r="BA221" s="102"/>
    </row>
    <row r="222" spans="2:53">
      <c r="G222" s="102"/>
      <c r="I222" s="103"/>
      <c r="J222" s="190"/>
      <c r="K222" s="190"/>
      <c r="L222" s="190"/>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02"/>
      <c r="AK222" s="102"/>
      <c r="AL222" s="102"/>
      <c r="AM222" s="102"/>
      <c r="AN222" s="102"/>
      <c r="AO222" s="102"/>
      <c r="AP222" s="102"/>
      <c r="AQ222" s="102"/>
      <c r="AR222" s="102"/>
      <c r="AS222" s="102"/>
      <c r="AT222" s="102"/>
      <c r="AU222" s="102"/>
      <c r="AV222" s="102"/>
      <c r="AW222" s="102"/>
      <c r="AX222" s="102"/>
      <c r="AY222" s="102"/>
      <c r="AZ222" s="102"/>
      <c r="BA222" s="102"/>
    </row>
    <row r="223" spans="2:53">
      <c r="G223" s="102"/>
      <c r="I223" s="103"/>
      <c r="J223" s="190"/>
      <c r="K223" s="190"/>
      <c r="L223" s="190"/>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02"/>
      <c r="AK223" s="102"/>
      <c r="AL223" s="102"/>
      <c r="AM223" s="102"/>
      <c r="AN223" s="102"/>
      <c r="AO223" s="102"/>
      <c r="AP223" s="102"/>
      <c r="AQ223" s="102"/>
      <c r="AR223" s="102"/>
      <c r="AS223" s="102"/>
      <c r="AT223" s="102"/>
      <c r="AU223" s="102"/>
      <c r="AV223" s="102"/>
      <c r="AW223" s="102"/>
      <c r="AX223" s="102"/>
      <c r="AY223" s="102"/>
      <c r="AZ223" s="102"/>
      <c r="BA223" s="102"/>
    </row>
    <row r="224" spans="2:53">
      <c r="B224" s="275" t="s">
        <v>747</v>
      </c>
      <c r="C224" s="275"/>
      <c r="D224" s="275"/>
      <c r="E224" s="275"/>
      <c r="F224" s="275"/>
      <c r="G224" s="275"/>
      <c r="I224" s="103"/>
      <c r="J224" s="190"/>
      <c r="K224" s="190"/>
      <c r="L224" s="190"/>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02"/>
      <c r="AK224" s="102"/>
      <c r="AL224" s="102"/>
      <c r="AM224" s="102"/>
      <c r="AN224" s="102"/>
      <c r="AO224" s="102"/>
      <c r="AP224" s="102"/>
      <c r="AQ224" s="102"/>
      <c r="AR224" s="102"/>
      <c r="AS224" s="102"/>
      <c r="AT224" s="102"/>
      <c r="AU224" s="102"/>
      <c r="AV224" s="102"/>
      <c r="AW224" s="102"/>
      <c r="AX224" s="102"/>
      <c r="AY224" s="102"/>
      <c r="AZ224" s="102"/>
      <c r="BA224" s="102"/>
    </row>
    <row r="225" spans="2:53">
      <c r="G225" s="102"/>
      <c r="I225" s="103"/>
      <c r="J225" s="190"/>
      <c r="K225" s="190"/>
      <c r="L225" s="190"/>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02"/>
      <c r="AK225" s="102"/>
      <c r="AL225" s="102"/>
      <c r="AM225" s="102"/>
      <c r="AN225" s="102"/>
      <c r="AO225" s="102"/>
      <c r="AP225" s="102"/>
      <c r="AQ225" s="102"/>
      <c r="AR225" s="102"/>
      <c r="AS225" s="102"/>
      <c r="AT225" s="102"/>
      <c r="AU225" s="102"/>
      <c r="AV225" s="102"/>
      <c r="AW225" s="102"/>
      <c r="AX225" s="102"/>
      <c r="AY225" s="102"/>
      <c r="AZ225" s="102"/>
      <c r="BA225" s="102"/>
    </row>
    <row r="226" spans="2:53" ht="54.75">
      <c r="B226" s="108" t="s">
        <v>748</v>
      </c>
      <c r="C226" s="186" t="s">
        <v>749</v>
      </c>
      <c r="D226" s="108" t="s">
        <v>750</v>
      </c>
      <c r="E226" s="108" t="s">
        <v>751</v>
      </c>
      <c r="G226" s="102"/>
      <c r="I226" s="103"/>
      <c r="J226" s="190"/>
      <c r="K226" s="190"/>
      <c r="L226" s="190"/>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02"/>
      <c r="AJ226" s="102"/>
      <c r="AK226" s="102"/>
      <c r="AL226" s="102"/>
      <c r="AM226" s="102"/>
      <c r="AN226" s="102"/>
      <c r="AO226" s="102"/>
      <c r="AP226" s="102"/>
      <c r="AQ226" s="102"/>
      <c r="AR226" s="102"/>
      <c r="AS226" s="102"/>
      <c r="AT226" s="102"/>
      <c r="AU226" s="102"/>
      <c r="AV226" s="102"/>
      <c r="AW226" s="102"/>
      <c r="AX226" s="102"/>
      <c r="AY226" s="102"/>
      <c r="AZ226" s="102"/>
      <c r="BA226" s="102"/>
    </row>
    <row r="227" spans="2:53" ht="68.25">
      <c r="B227" s="108" t="s">
        <v>752</v>
      </c>
      <c r="C227" s="186" t="s">
        <v>753</v>
      </c>
      <c r="D227" s="108" t="s">
        <v>754</v>
      </c>
      <c r="E227" s="108" t="s">
        <v>755</v>
      </c>
      <c r="G227" s="102"/>
      <c r="I227" s="103"/>
      <c r="J227" s="190"/>
      <c r="K227" s="190"/>
      <c r="L227" s="190"/>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02"/>
      <c r="AJ227" s="102"/>
      <c r="AK227" s="102"/>
      <c r="AL227" s="102"/>
      <c r="AM227" s="102"/>
      <c r="AN227" s="102"/>
      <c r="AO227" s="102"/>
      <c r="AP227" s="102"/>
      <c r="AQ227" s="102"/>
      <c r="AR227" s="102"/>
      <c r="AS227" s="102"/>
      <c r="AT227" s="102"/>
      <c r="AU227" s="102"/>
      <c r="AV227" s="102"/>
      <c r="AW227" s="102"/>
      <c r="AX227" s="102"/>
      <c r="AY227" s="102"/>
      <c r="AZ227" s="102"/>
      <c r="BA227" s="102"/>
    </row>
    <row r="228" spans="2:53" ht="54.75">
      <c r="B228" s="108" t="s">
        <v>756</v>
      </c>
      <c r="C228" s="186" t="s">
        <v>757</v>
      </c>
      <c r="D228" s="108" t="s">
        <v>758</v>
      </c>
      <c r="E228" s="108" t="s">
        <v>759</v>
      </c>
      <c r="G228" s="102"/>
      <c r="I228" s="103"/>
      <c r="J228" s="190"/>
      <c r="K228" s="190"/>
      <c r="L228" s="190"/>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02"/>
      <c r="AJ228" s="102"/>
      <c r="AK228" s="102"/>
      <c r="AL228" s="102"/>
      <c r="AM228" s="102"/>
      <c r="AN228" s="102"/>
      <c r="AO228" s="102"/>
      <c r="AP228" s="102"/>
      <c r="AQ228" s="102"/>
      <c r="AR228" s="102"/>
      <c r="AS228" s="102"/>
      <c r="AT228" s="102"/>
      <c r="AU228" s="102"/>
      <c r="AV228" s="102"/>
      <c r="AW228" s="102"/>
      <c r="AX228" s="102"/>
      <c r="AY228" s="102"/>
      <c r="AZ228" s="102"/>
      <c r="BA228" s="102"/>
    </row>
    <row r="229" spans="2:53" ht="27.75">
      <c r="B229" s="108" t="s">
        <v>612</v>
      </c>
      <c r="C229" s="186" t="s">
        <v>760</v>
      </c>
      <c r="D229" s="108" t="s">
        <v>761</v>
      </c>
      <c r="E229" s="108" t="s">
        <v>615</v>
      </c>
      <c r="G229" s="102"/>
      <c r="I229" s="103"/>
      <c r="J229" s="190"/>
      <c r="K229" s="190"/>
      <c r="L229" s="190"/>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02"/>
      <c r="AJ229" s="102"/>
      <c r="AK229" s="102"/>
      <c r="AL229" s="102"/>
      <c r="AM229" s="102"/>
      <c r="AN229" s="102"/>
      <c r="AO229" s="102"/>
      <c r="AP229" s="102"/>
      <c r="AQ229" s="102"/>
      <c r="AR229" s="102"/>
      <c r="AS229" s="102"/>
      <c r="AT229" s="102"/>
      <c r="AU229" s="102"/>
      <c r="AV229" s="102"/>
      <c r="AW229" s="102"/>
      <c r="AX229" s="102"/>
      <c r="AY229" s="102"/>
      <c r="AZ229" s="102"/>
      <c r="BA229" s="102"/>
    </row>
    <row r="230" spans="2:53" ht="96.75">
      <c r="B230" s="127" t="s">
        <v>762</v>
      </c>
      <c r="C230" s="205" t="s">
        <v>763</v>
      </c>
      <c r="D230" s="127" t="s">
        <v>764</v>
      </c>
      <c r="E230" s="127" t="s">
        <v>765</v>
      </c>
      <c r="G230" s="102"/>
      <c r="I230" s="103"/>
      <c r="J230" s="190"/>
      <c r="K230" s="190"/>
      <c r="L230" s="190"/>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02"/>
      <c r="AK230" s="102"/>
      <c r="AL230" s="102"/>
      <c r="AM230" s="102"/>
      <c r="AN230" s="102"/>
      <c r="AO230" s="102"/>
      <c r="AP230" s="102"/>
      <c r="AQ230" s="102"/>
      <c r="AR230" s="102"/>
      <c r="AS230" s="102"/>
      <c r="AT230" s="102"/>
      <c r="AU230" s="102"/>
      <c r="AV230" s="102"/>
      <c r="AW230" s="102"/>
      <c r="AX230" s="102"/>
      <c r="AY230" s="102"/>
      <c r="AZ230" s="102"/>
      <c r="BA230" s="102"/>
    </row>
    <row r="231" spans="2:53" ht="13.5">
      <c r="B231" s="108" t="s">
        <v>766</v>
      </c>
      <c r="C231" s="186" t="s">
        <v>767</v>
      </c>
      <c r="D231" s="108" t="s">
        <v>768</v>
      </c>
      <c r="E231" s="108" t="s">
        <v>769</v>
      </c>
      <c r="F231" s="108" t="s">
        <v>770</v>
      </c>
      <c r="G231" s="102"/>
      <c r="I231" s="103"/>
      <c r="J231" s="190"/>
      <c r="K231" s="190"/>
      <c r="L231" s="190"/>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02"/>
      <c r="AJ231" s="102"/>
      <c r="AK231" s="102"/>
      <c r="AL231" s="102"/>
      <c r="AM231" s="102"/>
      <c r="AN231" s="102"/>
      <c r="AO231" s="102"/>
      <c r="AP231" s="102"/>
      <c r="AQ231" s="102"/>
      <c r="AR231" s="102"/>
      <c r="AS231" s="102"/>
      <c r="AT231" s="102"/>
      <c r="AU231" s="102"/>
      <c r="AV231" s="102"/>
      <c r="AW231" s="102"/>
      <c r="AX231" s="102"/>
      <c r="AY231" s="102"/>
      <c r="AZ231" s="102"/>
      <c r="BA231" s="102"/>
    </row>
    <row r="232" spans="2:53">
      <c r="G232" s="102"/>
      <c r="I232" s="103"/>
      <c r="J232" s="190"/>
      <c r="K232" s="190"/>
      <c r="L232" s="190"/>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02"/>
      <c r="AK232" s="102"/>
      <c r="AL232" s="102"/>
      <c r="AM232" s="102"/>
      <c r="AN232" s="102"/>
      <c r="AO232" s="102"/>
      <c r="AP232" s="102"/>
      <c r="AQ232" s="102"/>
      <c r="AR232" s="102"/>
      <c r="AS232" s="102"/>
      <c r="AT232" s="102"/>
      <c r="AU232" s="102"/>
      <c r="AV232" s="102"/>
      <c r="AW232" s="102"/>
      <c r="AX232" s="102"/>
      <c r="AY232" s="102"/>
      <c r="AZ232" s="102"/>
      <c r="BA232" s="102"/>
    </row>
    <row r="233" spans="2:53">
      <c r="G233" s="102"/>
      <c r="I233" s="103"/>
      <c r="J233" s="190"/>
      <c r="K233" s="190"/>
      <c r="L233" s="190"/>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02"/>
      <c r="AJ233" s="102"/>
      <c r="AK233" s="102"/>
      <c r="AL233" s="102"/>
      <c r="AM233" s="102"/>
      <c r="AN233" s="102"/>
      <c r="AO233" s="102"/>
      <c r="AP233" s="102"/>
      <c r="AQ233" s="102"/>
      <c r="AR233" s="102"/>
      <c r="AS233" s="102"/>
      <c r="AT233" s="102"/>
      <c r="AU233" s="102"/>
      <c r="AV233" s="102"/>
      <c r="AW233" s="102"/>
      <c r="AX233" s="102"/>
      <c r="AY233" s="102"/>
      <c r="AZ233" s="102"/>
      <c r="BA233" s="102"/>
    </row>
    <row r="234" spans="2:53">
      <c r="G234" s="102"/>
      <c r="I234" s="103"/>
      <c r="J234" s="190"/>
      <c r="K234" s="190"/>
      <c r="L234" s="190"/>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02"/>
      <c r="AJ234" s="102"/>
      <c r="AK234" s="102"/>
      <c r="AL234" s="102"/>
      <c r="AM234" s="102"/>
      <c r="AN234" s="102"/>
      <c r="AO234" s="102"/>
      <c r="AP234" s="102"/>
      <c r="AQ234" s="102"/>
      <c r="AR234" s="102"/>
      <c r="AS234" s="102"/>
      <c r="AT234" s="102"/>
      <c r="AU234" s="102"/>
      <c r="AV234" s="102"/>
      <c r="AW234" s="102"/>
      <c r="AX234" s="102"/>
      <c r="AY234" s="102"/>
      <c r="AZ234" s="102"/>
      <c r="BA234" s="102"/>
    </row>
    <row r="235" spans="2:53">
      <c r="G235" s="102"/>
      <c r="I235" s="103"/>
      <c r="J235" s="190"/>
      <c r="K235" s="190"/>
      <c r="L235" s="190"/>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02"/>
      <c r="AJ235" s="102"/>
      <c r="AK235" s="102"/>
      <c r="AL235" s="102"/>
      <c r="AM235" s="102"/>
      <c r="AN235" s="102"/>
      <c r="AO235" s="102"/>
      <c r="AP235" s="102"/>
      <c r="AQ235" s="102"/>
      <c r="AR235" s="102"/>
      <c r="AS235" s="102"/>
      <c r="AT235" s="102"/>
      <c r="AU235" s="102"/>
      <c r="AV235" s="102"/>
      <c r="AW235" s="102"/>
      <c r="AX235" s="102"/>
      <c r="AY235" s="102"/>
      <c r="AZ235" s="102"/>
      <c r="BA235" s="102"/>
    </row>
    <row r="236" spans="2:53" ht="13.5">
      <c r="D236" s="108" t="s">
        <v>771</v>
      </c>
      <c r="I236" s="103"/>
      <c r="J236" s="190"/>
      <c r="K236" s="190"/>
      <c r="L236" s="190"/>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02"/>
      <c r="AJ236" s="102"/>
      <c r="AK236" s="102"/>
      <c r="AL236" s="102"/>
      <c r="AM236" s="102"/>
      <c r="AN236" s="102"/>
      <c r="AO236" s="102"/>
      <c r="AP236" s="102"/>
      <c r="AQ236" s="102"/>
      <c r="AR236" s="102"/>
      <c r="AS236" s="102"/>
      <c r="AT236" s="102"/>
      <c r="AU236" s="102"/>
      <c r="AV236" s="102"/>
      <c r="AW236" s="102"/>
      <c r="AX236" s="102"/>
      <c r="AY236" s="102"/>
      <c r="AZ236" s="102"/>
      <c r="BA236" s="102"/>
    </row>
    <row r="237" spans="2:53" ht="41.25">
      <c r="D237" s="172" t="s">
        <v>772</v>
      </c>
      <c r="F237" s="173"/>
    </row>
    <row r="238" spans="2:53">
      <c r="F238" s="173" t="s">
        <v>773</v>
      </c>
    </row>
    <row r="241" spans="1:12" ht="30.75" customHeight="1"/>
    <row r="242" spans="1:12">
      <c r="B242" s="171">
        <v>45958</v>
      </c>
    </row>
    <row r="243" spans="1:12" s="174" customFormat="1" ht="41.25">
      <c r="A243" s="224"/>
      <c r="B243" s="174" t="s">
        <v>774</v>
      </c>
      <c r="C243" s="219" t="s">
        <v>775</v>
      </c>
      <c r="D243" s="174" t="s">
        <v>776</v>
      </c>
      <c r="E243" s="174" t="s">
        <v>777</v>
      </c>
      <c r="I243" s="188"/>
      <c r="J243" s="192"/>
      <c r="K243" s="192"/>
      <c r="L243" s="192"/>
    </row>
    <row r="244" spans="1:12" s="174" customFormat="1" ht="54.75">
      <c r="A244" s="224"/>
      <c r="B244" s="174" t="s">
        <v>778</v>
      </c>
      <c r="C244" s="219" t="s">
        <v>779</v>
      </c>
      <c r="D244" s="174" t="s">
        <v>780</v>
      </c>
      <c r="E244" s="174" t="s">
        <v>781</v>
      </c>
      <c r="I244" s="188"/>
      <c r="J244" s="192"/>
      <c r="K244" s="192"/>
      <c r="L244" s="192"/>
    </row>
    <row r="245" spans="1:12" s="174" customFormat="1" ht="96.75">
      <c r="A245" s="224"/>
      <c r="B245" s="174" t="s">
        <v>782</v>
      </c>
      <c r="C245" s="219" t="s">
        <v>783</v>
      </c>
      <c r="D245" s="174" t="s">
        <v>784</v>
      </c>
      <c r="E245" s="175" t="s">
        <v>785</v>
      </c>
      <c r="I245" s="188"/>
      <c r="J245" s="192"/>
      <c r="K245" s="192"/>
      <c r="L245" s="192"/>
    </row>
    <row r="246" spans="1:12">
      <c r="B246" s="171">
        <v>45966</v>
      </c>
    </row>
    <row r="247" spans="1:12" s="174" customFormat="1" ht="68.25">
      <c r="A247" s="224"/>
      <c r="B247" s="174" t="s">
        <v>786</v>
      </c>
      <c r="C247" s="219" t="s">
        <v>787</v>
      </c>
      <c r="D247" s="174" t="s">
        <v>788</v>
      </c>
      <c r="E247" s="174" t="s">
        <v>789</v>
      </c>
      <c r="I247" s="188"/>
      <c r="J247" s="192"/>
      <c r="K247" s="192"/>
      <c r="L247" s="192"/>
    </row>
    <row r="248" spans="1:12" s="174" customFormat="1" ht="54.75">
      <c r="A248" s="224"/>
      <c r="B248" s="174" t="s">
        <v>790</v>
      </c>
      <c r="C248" s="219" t="s">
        <v>791</v>
      </c>
      <c r="D248" s="174" t="s">
        <v>792</v>
      </c>
      <c r="E248" s="174" t="s">
        <v>793</v>
      </c>
      <c r="I248" s="188"/>
      <c r="J248" s="192"/>
      <c r="K248" s="192"/>
      <c r="L248" s="192"/>
    </row>
    <row r="249" spans="1:12">
      <c r="B249" s="171">
        <v>45972</v>
      </c>
    </row>
    <row r="250" spans="1:12" s="174" customFormat="1" ht="135" customHeight="1">
      <c r="A250" s="224"/>
      <c r="B250" s="174" t="s">
        <v>794</v>
      </c>
      <c r="C250" s="219" t="s">
        <v>795</v>
      </c>
      <c r="D250" s="176" t="s">
        <v>796</v>
      </c>
      <c r="E250" s="176" t="s">
        <v>797</v>
      </c>
      <c r="I250" s="188"/>
      <c r="J250" s="192"/>
      <c r="K250" s="192"/>
      <c r="L250" s="192"/>
    </row>
    <row r="251" spans="1:12">
      <c r="B251" s="171">
        <v>45973</v>
      </c>
    </row>
    <row r="252" spans="1:12" s="174" customFormat="1" ht="27.75">
      <c r="A252" s="224"/>
      <c r="B252" s="174" t="s">
        <v>798</v>
      </c>
      <c r="C252" s="219" t="s">
        <v>799</v>
      </c>
      <c r="D252" s="174" t="s">
        <v>800</v>
      </c>
      <c r="E252" s="174" t="s">
        <v>801</v>
      </c>
      <c r="I252" s="188"/>
      <c r="J252" s="192"/>
      <c r="K252" s="192"/>
      <c r="L252" s="192"/>
    </row>
    <row r="253" spans="1:12">
      <c r="B253" s="171">
        <v>45979</v>
      </c>
    </row>
    <row r="254" spans="1:12" s="174" customFormat="1" ht="96.75">
      <c r="A254" s="224"/>
      <c r="B254" s="174" t="s">
        <v>802</v>
      </c>
      <c r="C254" s="219" t="s">
        <v>803</v>
      </c>
      <c r="D254" s="174" t="s">
        <v>804</v>
      </c>
      <c r="E254" s="174" t="s">
        <v>805</v>
      </c>
      <c r="F254" s="109" t="s">
        <v>806</v>
      </c>
      <c r="I254" s="188"/>
      <c r="J254" s="192"/>
      <c r="K254" s="192"/>
      <c r="L254" s="192"/>
    </row>
    <row r="255" spans="1:12">
      <c r="B255" s="171">
        <v>45980</v>
      </c>
    </row>
    <row r="256" spans="1:12" s="174" customFormat="1" ht="27.75">
      <c r="A256" s="224"/>
      <c r="B256" s="174" t="s">
        <v>807</v>
      </c>
      <c r="C256" s="219" t="s">
        <v>808</v>
      </c>
      <c r="D256" s="174" t="s">
        <v>809</v>
      </c>
      <c r="E256" s="174" t="s">
        <v>810</v>
      </c>
      <c r="I256" s="188"/>
      <c r="J256" s="192"/>
      <c r="K256" s="192"/>
      <c r="L256" s="192"/>
    </row>
    <row r="257" spans="1:12">
      <c r="B257" s="171">
        <v>45982</v>
      </c>
    </row>
    <row r="258" spans="1:12" s="174" customFormat="1" ht="13.5">
      <c r="A258" s="224"/>
      <c r="B258" s="174" t="s">
        <v>811</v>
      </c>
      <c r="C258" s="219" t="s">
        <v>812</v>
      </c>
      <c r="D258" s="174" t="s">
        <v>813</v>
      </c>
      <c r="E258" s="174" t="s">
        <v>814</v>
      </c>
      <c r="I258" s="188"/>
      <c r="J258" s="192"/>
      <c r="K258" s="192"/>
      <c r="L258" s="192"/>
    </row>
    <row r="259" spans="1:12">
      <c r="B259" s="171">
        <v>45985</v>
      </c>
    </row>
    <row r="260" spans="1:12" ht="54.75">
      <c r="B260" s="108" t="s">
        <v>815</v>
      </c>
      <c r="C260" s="186" t="s">
        <v>816</v>
      </c>
      <c r="D260" s="108" t="s">
        <v>817</v>
      </c>
      <c r="E260" s="108" t="s">
        <v>818</v>
      </c>
    </row>
    <row r="261" spans="1:12" ht="41.25">
      <c r="B261" s="108" t="s">
        <v>819</v>
      </c>
      <c r="C261" s="186" t="s">
        <v>820</v>
      </c>
      <c r="D261" s="108" t="s">
        <v>821</v>
      </c>
      <c r="E261" s="108" t="s">
        <v>822</v>
      </c>
    </row>
    <row r="262" spans="1:12" s="174" customFormat="1" ht="179.25">
      <c r="A262" s="224"/>
      <c r="B262" s="174" t="s">
        <v>823</v>
      </c>
      <c r="C262" s="219" t="s">
        <v>824</v>
      </c>
      <c r="D262" s="174" t="s">
        <v>825</v>
      </c>
      <c r="E262" s="174" t="s">
        <v>826</v>
      </c>
      <c r="I262" s="188"/>
      <c r="J262" s="192"/>
      <c r="K262" s="192"/>
      <c r="L262" s="192"/>
    </row>
    <row r="263" spans="1:12">
      <c r="B263" s="171">
        <v>45994</v>
      </c>
    </row>
    <row r="264" spans="1:12" ht="83.25">
      <c r="B264" s="88" t="s">
        <v>827</v>
      </c>
      <c r="C264" s="216" t="s">
        <v>828</v>
      </c>
      <c r="D264" s="177" t="s">
        <v>829</v>
      </c>
      <c r="E264" s="88" t="s">
        <v>830</v>
      </c>
    </row>
    <row r="265" spans="1:12" ht="68.25">
      <c r="B265" s="88" t="s">
        <v>617</v>
      </c>
      <c r="C265" s="216" t="s">
        <v>831</v>
      </c>
      <c r="D265" s="177" t="s">
        <v>832</v>
      </c>
      <c r="E265" s="88" t="s">
        <v>833</v>
      </c>
    </row>
    <row r="266" spans="1:12">
      <c r="B266" s="171">
        <v>45995</v>
      </c>
    </row>
    <row r="267" spans="1:12" ht="41.25">
      <c r="B267" s="88" t="s">
        <v>834</v>
      </c>
      <c r="C267" s="216" t="s">
        <v>835</v>
      </c>
      <c r="D267" s="167" t="s">
        <v>836</v>
      </c>
      <c r="E267" s="88" t="s">
        <v>837</v>
      </c>
    </row>
    <row r="268" spans="1:12" ht="41.25">
      <c r="B268" s="88" t="s">
        <v>838</v>
      </c>
      <c r="C268" s="216" t="s">
        <v>839</v>
      </c>
      <c r="D268" s="167" t="s">
        <v>840</v>
      </c>
      <c r="E268" s="88" t="s">
        <v>841</v>
      </c>
    </row>
    <row r="269" spans="1:12">
      <c r="B269" s="171">
        <v>45996</v>
      </c>
    </row>
    <row r="272" spans="1:12">
      <c r="B272" s="171">
        <v>45697</v>
      </c>
    </row>
    <row r="273" spans="2:5" ht="68.25">
      <c r="B273" s="178" t="s">
        <v>842</v>
      </c>
      <c r="C273" s="220" t="s">
        <v>843</v>
      </c>
      <c r="D273" s="179" t="s">
        <v>844</v>
      </c>
      <c r="E273" s="178" t="s">
        <v>845</v>
      </c>
    </row>
    <row r="274" spans="2:5" ht="68.25">
      <c r="B274" s="88" t="s">
        <v>617</v>
      </c>
      <c r="C274" s="230" t="s">
        <v>618</v>
      </c>
      <c r="D274" s="88" t="s">
        <v>619</v>
      </c>
      <c r="E274" s="88" t="s">
        <v>620</v>
      </c>
    </row>
    <row r="275" spans="2:5">
      <c r="B275" s="171">
        <v>46002</v>
      </c>
    </row>
    <row r="276" spans="2:5" ht="41.25">
      <c r="B276" s="89" t="s">
        <v>638</v>
      </c>
      <c r="C276" s="218" t="s">
        <v>639</v>
      </c>
      <c r="D276" s="89" t="s">
        <v>846</v>
      </c>
      <c r="E276" s="89" t="s">
        <v>847</v>
      </c>
    </row>
    <row r="277" spans="2:5" ht="21" customHeight="1">
      <c r="B277" s="271" t="s">
        <v>848</v>
      </c>
      <c r="C277" s="232" t="s">
        <v>849</v>
      </c>
      <c r="D277" s="271" t="s">
        <v>850</v>
      </c>
      <c r="E277" s="271" t="s">
        <v>851</v>
      </c>
    </row>
    <row r="278" spans="2:5" ht="24.75" customHeight="1">
      <c r="B278" s="271"/>
      <c r="C278" s="218" t="s">
        <v>852</v>
      </c>
      <c r="D278" s="283"/>
      <c r="E278" s="271"/>
    </row>
    <row r="279" spans="2:5" ht="22.5" customHeight="1">
      <c r="B279" s="271"/>
      <c r="C279" s="218" t="s">
        <v>853</v>
      </c>
      <c r="D279" s="283"/>
      <c r="E279" s="271"/>
    </row>
    <row r="280" spans="2:5">
      <c r="B280" s="171">
        <v>46003</v>
      </c>
    </row>
    <row r="281" spans="2:5" ht="13.5">
      <c r="B281" s="271" t="s">
        <v>854</v>
      </c>
      <c r="C281" s="218" t="s">
        <v>855</v>
      </c>
      <c r="D281" s="286" t="s">
        <v>856</v>
      </c>
      <c r="E281" s="271" t="s">
        <v>857</v>
      </c>
    </row>
    <row r="282" spans="2:5">
      <c r="B282" s="271"/>
      <c r="C282" s="232" t="s">
        <v>858</v>
      </c>
      <c r="D282" s="287"/>
      <c r="E282" s="271"/>
    </row>
    <row r="283" spans="2:5" ht="41.25">
      <c r="B283" s="89" t="s">
        <v>859</v>
      </c>
      <c r="C283" s="232" t="s">
        <v>858</v>
      </c>
      <c r="D283" s="180" t="s">
        <v>860</v>
      </c>
      <c r="E283" s="89" t="s">
        <v>861</v>
      </c>
    </row>
    <row r="284" spans="2:5">
      <c r="B284" s="171">
        <v>46006</v>
      </c>
    </row>
    <row r="285" spans="2:5" ht="40.5">
      <c r="B285" s="89" t="s">
        <v>862</v>
      </c>
      <c r="C285" s="232" t="s">
        <v>863</v>
      </c>
      <c r="D285" s="180" t="s">
        <v>864</v>
      </c>
      <c r="E285" s="89" t="s">
        <v>865</v>
      </c>
    </row>
    <row r="286" spans="2:5" ht="54.75">
      <c r="B286" s="89" t="s">
        <v>866</v>
      </c>
      <c r="C286" s="232" t="s">
        <v>867</v>
      </c>
      <c r="D286" s="180" t="s">
        <v>868</v>
      </c>
      <c r="E286" s="89" t="s">
        <v>869</v>
      </c>
    </row>
    <row r="287" spans="2:5">
      <c r="B287" s="171">
        <v>46007</v>
      </c>
    </row>
    <row r="288" spans="2:5" ht="53.25">
      <c r="B288" s="89" t="s">
        <v>870</v>
      </c>
      <c r="C288" s="232" t="s">
        <v>871</v>
      </c>
      <c r="D288" s="180" t="s">
        <v>872</v>
      </c>
      <c r="E288" s="89" t="s">
        <v>873</v>
      </c>
    </row>
    <row r="291" spans="1:12">
      <c r="B291" s="171">
        <v>46000</v>
      </c>
    </row>
    <row r="292" spans="1:12" s="174" customFormat="1" ht="68.25">
      <c r="A292" s="224"/>
      <c r="B292" s="178" t="s">
        <v>874</v>
      </c>
      <c r="C292" s="233" t="s">
        <v>703</v>
      </c>
      <c r="D292" s="179" t="s">
        <v>875</v>
      </c>
      <c r="E292" s="178" t="s">
        <v>876</v>
      </c>
      <c r="F292" s="174" t="s">
        <v>877</v>
      </c>
      <c r="I292" s="188"/>
      <c r="J292" s="192"/>
      <c r="K292" s="192"/>
      <c r="L292" s="192"/>
    </row>
    <row r="293" spans="1:12">
      <c r="B293" s="181">
        <v>46013</v>
      </c>
    </row>
    <row r="294" spans="1:12" ht="96.75">
      <c r="B294" s="89" t="s">
        <v>634</v>
      </c>
      <c r="C294" s="218" t="s">
        <v>635</v>
      </c>
      <c r="D294" s="89" t="s">
        <v>636</v>
      </c>
      <c r="E294" s="89" t="s">
        <v>637</v>
      </c>
    </row>
    <row r="295" spans="1:12" ht="54.75">
      <c r="B295" s="89" t="s">
        <v>638</v>
      </c>
      <c r="C295" s="218" t="s">
        <v>639</v>
      </c>
      <c r="D295" s="180" t="s">
        <v>640</v>
      </c>
      <c r="E295" s="89" t="s">
        <v>641</v>
      </c>
    </row>
    <row r="296" spans="1:12">
      <c r="B296" s="181">
        <v>46017</v>
      </c>
    </row>
    <row r="297" spans="1:12" s="174" customFormat="1" ht="110.25">
      <c r="A297" s="224"/>
      <c r="B297" s="92" t="s">
        <v>878</v>
      </c>
      <c r="C297" s="221" t="s">
        <v>879</v>
      </c>
      <c r="D297" s="92" t="s">
        <v>880</v>
      </c>
      <c r="E297" s="92" t="s">
        <v>881</v>
      </c>
      <c r="I297" s="188"/>
      <c r="J297" s="192"/>
      <c r="K297" s="192"/>
      <c r="L297" s="192"/>
    </row>
    <row r="298" spans="1:12">
      <c r="B298" s="181">
        <v>46024</v>
      </c>
    </row>
    <row r="299" spans="1:12" ht="166.5" customHeight="1">
      <c r="B299" s="108" t="s">
        <v>882</v>
      </c>
      <c r="C299" s="186" t="s">
        <v>883</v>
      </c>
      <c r="D299" s="108" t="s">
        <v>884</v>
      </c>
      <c r="E299" s="108" t="s">
        <v>885</v>
      </c>
    </row>
    <row r="300" spans="1:12">
      <c r="B300" s="165">
        <v>45664</v>
      </c>
    </row>
    <row r="301" spans="1:12" ht="36">
      <c r="B301" s="89" t="s">
        <v>669</v>
      </c>
      <c r="C301" s="222" t="s">
        <v>670</v>
      </c>
      <c r="D301" s="182" t="s">
        <v>886</v>
      </c>
      <c r="E301" s="94" t="s">
        <v>887</v>
      </c>
    </row>
    <row r="302" spans="1:12" ht="53.25">
      <c r="B302" s="89" t="s">
        <v>888</v>
      </c>
      <c r="C302" s="223" t="s">
        <v>889</v>
      </c>
      <c r="D302" s="183" t="s">
        <v>890</v>
      </c>
      <c r="E302" s="288" t="s">
        <v>891</v>
      </c>
    </row>
    <row r="303" spans="1:12" ht="13.5">
      <c r="B303" s="91"/>
      <c r="C303" s="234" t="s">
        <v>892</v>
      </c>
      <c r="D303" s="95"/>
      <c r="E303" s="289"/>
    </row>
    <row r="304" spans="1:12">
      <c r="B304" s="171">
        <v>46030</v>
      </c>
    </row>
    <row r="305" spans="2:5" ht="41.25">
      <c r="B305" s="108" t="s">
        <v>893</v>
      </c>
      <c r="C305" s="186" t="s">
        <v>894</v>
      </c>
      <c r="D305" s="108" t="s">
        <v>895</v>
      </c>
      <c r="E305" s="108" t="s">
        <v>896</v>
      </c>
    </row>
    <row r="307" spans="2:5">
      <c r="B307" s="171">
        <v>46031</v>
      </c>
    </row>
    <row r="308" spans="2:5" ht="54.75">
      <c r="B308" s="108" t="s">
        <v>897</v>
      </c>
      <c r="C308" s="186" t="s">
        <v>898</v>
      </c>
      <c r="D308" s="108" t="s">
        <v>899</v>
      </c>
      <c r="E308" s="108" t="s">
        <v>900</v>
      </c>
    </row>
    <row r="309" spans="2:5" ht="41.25">
      <c r="B309" s="108" t="s">
        <v>901</v>
      </c>
      <c r="C309" s="186" t="s">
        <v>902</v>
      </c>
      <c r="D309" s="108" t="s">
        <v>903</v>
      </c>
      <c r="E309" s="108" t="s">
        <v>904</v>
      </c>
    </row>
    <row r="310" spans="2:5">
      <c r="B310" s="171">
        <v>46035</v>
      </c>
    </row>
    <row r="312" spans="2:5">
      <c r="B312" s="171">
        <v>45671</v>
      </c>
    </row>
    <row r="313" spans="2:5" ht="151.5">
      <c r="B313" s="108" t="s">
        <v>905</v>
      </c>
      <c r="C313" s="186" t="s">
        <v>906</v>
      </c>
      <c r="D313" s="108" t="s">
        <v>907</v>
      </c>
      <c r="E313" s="108" t="s">
        <v>908</v>
      </c>
    </row>
    <row r="314" spans="2:5">
      <c r="B314" s="171">
        <v>46037</v>
      </c>
    </row>
    <row r="315" spans="2:5" ht="54.75">
      <c r="B315" s="108" t="s">
        <v>909</v>
      </c>
      <c r="C315" s="186" t="s">
        <v>910</v>
      </c>
      <c r="D315" s="108" t="s">
        <v>911</v>
      </c>
      <c r="E315" s="108" t="s">
        <v>912</v>
      </c>
    </row>
    <row r="316" spans="2:5" ht="13.5">
      <c r="B316" s="108" t="s">
        <v>913</v>
      </c>
    </row>
    <row r="317" spans="2:5" ht="68.25">
      <c r="B317" s="108" t="s">
        <v>914</v>
      </c>
      <c r="C317" s="186" t="s">
        <v>898</v>
      </c>
      <c r="D317" s="108" t="s">
        <v>915</v>
      </c>
      <c r="E317" s="108" t="s">
        <v>916</v>
      </c>
    </row>
    <row r="318" spans="2:5">
      <c r="B318" s="171">
        <v>46041</v>
      </c>
    </row>
    <row r="319" spans="2:5" ht="54.75">
      <c r="B319" s="108" t="s">
        <v>917</v>
      </c>
      <c r="C319" s="186" t="s">
        <v>918</v>
      </c>
      <c r="D319" s="108" t="s">
        <v>919</v>
      </c>
      <c r="E319" s="108" t="s">
        <v>920</v>
      </c>
    </row>
    <row r="320" spans="2:5" ht="54.75">
      <c r="B320" s="108" t="s">
        <v>921</v>
      </c>
      <c r="C320" s="186" t="s">
        <v>922</v>
      </c>
      <c r="D320" s="108" t="s">
        <v>923</v>
      </c>
      <c r="E320" s="108" t="s">
        <v>924</v>
      </c>
    </row>
    <row r="321" spans="2:6">
      <c r="B321" s="171">
        <v>46042</v>
      </c>
    </row>
    <row r="322" spans="2:6" ht="54.75">
      <c r="B322" s="108" t="s">
        <v>726</v>
      </c>
      <c r="C322" s="186" t="s">
        <v>925</v>
      </c>
      <c r="D322" s="108" t="s">
        <v>926</v>
      </c>
      <c r="E322" s="96" t="s">
        <v>927</v>
      </c>
    </row>
    <row r="323" spans="2:6" ht="83.25">
      <c r="B323" s="108" t="s">
        <v>928</v>
      </c>
      <c r="C323" s="184" t="s">
        <v>929</v>
      </c>
      <c r="D323" s="108" t="s">
        <v>930</v>
      </c>
      <c r="E323" s="96" t="s">
        <v>931</v>
      </c>
    </row>
    <row r="324" spans="2:6">
      <c r="B324" s="171">
        <v>46043</v>
      </c>
      <c r="C324" s="235"/>
      <c r="D324" s="186"/>
      <c r="E324" s="96"/>
    </row>
    <row r="325" spans="2:6" ht="54.75">
      <c r="B325" s="108" t="s">
        <v>932</v>
      </c>
      <c r="C325" s="185" t="s">
        <v>933</v>
      </c>
      <c r="D325" s="108" t="s">
        <v>934</v>
      </c>
      <c r="E325" s="108" t="s">
        <v>935</v>
      </c>
    </row>
    <row r="326" spans="2:6" ht="16.5">
      <c r="B326" s="171">
        <v>46044</v>
      </c>
      <c r="C326" s="185"/>
    </row>
    <row r="327" spans="2:6" ht="165">
      <c r="B327" s="108" t="s">
        <v>936</v>
      </c>
      <c r="C327" s="186" t="s">
        <v>937</v>
      </c>
      <c r="D327" s="108" t="s">
        <v>938</v>
      </c>
      <c r="E327" s="108" t="s">
        <v>939</v>
      </c>
    </row>
    <row r="328" spans="2:6">
      <c r="B328" s="171">
        <v>46045</v>
      </c>
    </row>
    <row r="329" spans="2:6" ht="54.75">
      <c r="B329" s="108" t="s">
        <v>940</v>
      </c>
      <c r="C329" s="186" t="s">
        <v>941</v>
      </c>
      <c r="D329" s="108" t="s">
        <v>942</v>
      </c>
      <c r="E329" s="108" t="s">
        <v>943</v>
      </c>
    </row>
    <row r="330" spans="2:6">
      <c r="B330" s="171">
        <v>46059</v>
      </c>
    </row>
    <row r="331" spans="2:6" ht="110.25">
      <c r="B331" s="108" t="s">
        <v>944</v>
      </c>
      <c r="C331" s="186" t="s">
        <v>945</v>
      </c>
      <c r="D331" s="108" t="s">
        <v>946</v>
      </c>
      <c r="E331" s="108" t="s">
        <v>947</v>
      </c>
    </row>
    <row r="332" spans="2:6">
      <c r="B332" s="171">
        <v>46049</v>
      </c>
    </row>
    <row r="333" spans="2:6" ht="54.75">
      <c r="B333" s="108" t="s">
        <v>948</v>
      </c>
      <c r="C333" s="186" t="s">
        <v>949</v>
      </c>
      <c r="D333" s="108" t="s">
        <v>950</v>
      </c>
      <c r="E333" s="108" t="s">
        <v>951</v>
      </c>
    </row>
    <row r="334" spans="2:6" ht="54.75">
      <c r="D334" s="108" t="s">
        <v>952</v>
      </c>
    </row>
    <row r="335" spans="2:6">
      <c r="B335" s="171">
        <v>46051</v>
      </c>
    </row>
    <row r="336" spans="2:6" ht="83.25">
      <c r="B336" s="108" t="s">
        <v>744</v>
      </c>
      <c r="C336" s="186" t="s">
        <v>558</v>
      </c>
      <c r="D336" s="108" t="s">
        <v>745</v>
      </c>
      <c r="E336" s="108" t="s">
        <v>746</v>
      </c>
      <c r="F336" s="108" t="s">
        <v>953</v>
      </c>
    </row>
    <row r="337" spans="2:5">
      <c r="B337" s="171">
        <v>46052</v>
      </c>
    </row>
    <row r="338" spans="2:5" ht="54.75">
      <c r="B338" s="108" t="s">
        <v>954</v>
      </c>
      <c r="C338" s="186" t="s">
        <v>955</v>
      </c>
      <c r="D338" s="108" t="s">
        <v>956</v>
      </c>
      <c r="E338" s="108" t="s">
        <v>957</v>
      </c>
    </row>
    <row r="339" spans="2:5" ht="206.25">
      <c r="B339" s="108" t="s">
        <v>958</v>
      </c>
      <c r="C339" s="186" t="s">
        <v>959</v>
      </c>
      <c r="D339" s="108" t="s">
        <v>960</v>
      </c>
      <c r="E339" s="108" t="s">
        <v>961</v>
      </c>
    </row>
    <row r="340" spans="2:5" ht="14.25" customHeight="1">
      <c r="B340" s="171">
        <v>46024</v>
      </c>
    </row>
    <row r="341" spans="2:5" ht="54.75">
      <c r="B341" s="108" t="s">
        <v>932</v>
      </c>
      <c r="C341" s="185" t="s">
        <v>933</v>
      </c>
      <c r="D341" s="108" t="s">
        <v>962</v>
      </c>
      <c r="E341" s="108" t="s">
        <v>935</v>
      </c>
    </row>
    <row r="342" spans="2:5" ht="16.5">
      <c r="B342" s="171">
        <v>46057</v>
      </c>
      <c r="C342" s="185"/>
    </row>
    <row r="343" spans="2:5" ht="32.25" customHeight="1">
      <c r="B343" s="267" t="s">
        <v>963</v>
      </c>
      <c r="C343" s="186" t="s">
        <v>964</v>
      </c>
      <c r="D343" s="284" t="s">
        <v>965</v>
      </c>
      <c r="E343" s="284" t="s">
        <v>966</v>
      </c>
    </row>
    <row r="344" spans="2:5" ht="28.5" customHeight="1">
      <c r="B344" s="268"/>
      <c r="C344" s="186" t="s">
        <v>967</v>
      </c>
      <c r="D344" s="285"/>
      <c r="E344" s="285"/>
    </row>
    <row r="346" spans="2:5" ht="162.75" customHeight="1">
      <c r="B346" s="267" t="s">
        <v>968</v>
      </c>
      <c r="C346" s="186" t="s">
        <v>969</v>
      </c>
      <c r="D346" s="108" t="s">
        <v>970</v>
      </c>
      <c r="E346" s="267" t="s">
        <v>971</v>
      </c>
    </row>
    <row r="347" spans="2:5" ht="159" customHeight="1">
      <c r="B347" s="268"/>
      <c r="C347" s="186" t="s">
        <v>972</v>
      </c>
      <c r="D347" s="108" t="s">
        <v>973</v>
      </c>
      <c r="E347" s="268"/>
    </row>
    <row r="348" spans="2:5" ht="13.5" customHeight="1">
      <c r="B348" s="266"/>
      <c r="E348" s="266"/>
    </row>
    <row r="357" spans="2:6" ht="13.5">
      <c r="B357" s="108" t="s">
        <v>974</v>
      </c>
    </row>
    <row r="358" spans="2:6" ht="54.75">
      <c r="B358" s="108" t="s">
        <v>975</v>
      </c>
      <c r="C358" s="186" t="s">
        <v>976</v>
      </c>
      <c r="D358" s="108" t="s">
        <v>977</v>
      </c>
      <c r="E358" s="108" t="s">
        <v>978</v>
      </c>
      <c r="F358" s="108" t="s">
        <v>974</v>
      </c>
    </row>
  </sheetData>
  <autoFilter ref="K1:K343" xr:uid="{00000000-0001-0000-0000-000000000000}"/>
  <mergeCells count="46">
    <mergeCell ref="E174:E175"/>
    <mergeCell ref="B277:B279"/>
    <mergeCell ref="D277:D279"/>
    <mergeCell ref="D343:D344"/>
    <mergeCell ref="E343:E344"/>
    <mergeCell ref="B343:B344"/>
    <mergeCell ref="B281:B282"/>
    <mergeCell ref="D281:D282"/>
    <mergeCell ref="E302:E303"/>
    <mergeCell ref="E281:E282"/>
    <mergeCell ref="E21:E22"/>
    <mergeCell ref="B26:B27"/>
    <mergeCell ref="B107:B108"/>
    <mergeCell ref="B101:B103"/>
    <mergeCell ref="B104:B106"/>
    <mergeCell ref="E104:E106"/>
    <mergeCell ref="E101:E103"/>
    <mergeCell ref="D104:D106"/>
    <mergeCell ref="E49:E50"/>
    <mergeCell ref="D49:D50"/>
    <mergeCell ref="D107:D108"/>
    <mergeCell ref="E107:E108"/>
    <mergeCell ref="B3:B4"/>
    <mergeCell ref="B112:B113"/>
    <mergeCell ref="B10:B11"/>
    <mergeCell ref="B49:B50"/>
    <mergeCell ref="B7:B9"/>
    <mergeCell ref="B21:B22"/>
    <mergeCell ref="B34:B36"/>
    <mergeCell ref="B43:B44"/>
    <mergeCell ref="E346:E347"/>
    <mergeCell ref="B346:B347"/>
    <mergeCell ref="F166:F167"/>
    <mergeCell ref="F158:F159"/>
    <mergeCell ref="E112:E113"/>
    <mergeCell ref="E277:E279"/>
    <mergeCell ref="B154:B155"/>
    <mergeCell ref="D154:D155"/>
    <mergeCell ref="B166:B167"/>
    <mergeCell ref="B224:G224"/>
    <mergeCell ref="D141:D142"/>
    <mergeCell ref="B141:B142"/>
    <mergeCell ref="E141:E142"/>
    <mergeCell ref="D174:D175"/>
    <mergeCell ref="B163:B165"/>
    <mergeCell ref="E163:E165"/>
  </mergeCells>
  <hyperlinks>
    <hyperlink ref="D91" r:id="rId1" display="https://www.sacomplete.com/                                " xr:uid="{EEFF3DB8-2284-4622-AA28-4E9AE6AD64CB}"/>
    <hyperlink ref="D237" r:id="rId2" display="https://www.doximity.com/directory/md/location/texas/shenandoah?after=pub%2Fai-sumida-md" xr:uid="{0048E87E-10D8-4EF5-A405-D187FC9C1CE6}"/>
    <hyperlink ref="D80" r:id="rId3" display="https://www.drferay.com/" xr:uid="{85918BFA-3657-4CFB-912D-D543E252ECC4}"/>
    <hyperlink ref="D74" r:id="rId4" location="about" display="https://qlmddpc.com/#about" xr:uid="{6A02A989-0A6A-4B92-976F-09021296D5F3}"/>
    <hyperlink ref="D33" r:id="rId5" xr:uid="{2E630729-6058-44AF-BD22-84B4937120AF}"/>
    <hyperlink ref="D166" r:id="rId6" xr:uid="{A0ED4ABA-3FD7-4C9C-8516-ACB85995C1C6}"/>
    <hyperlink ref="D167" r:id="rId7" xr:uid="{17DE3BDA-6396-4532-B77C-116B72165370}"/>
    <hyperlink ref="D264" r:id="rId8" xr:uid="{14B15D0A-00B7-4573-8805-6D0BEC54F29C}"/>
    <hyperlink ref="D265" r:id="rId9" xr:uid="{77AC1435-2390-4CE7-A833-8D7C165A5E91}"/>
    <hyperlink ref="D267" r:id="rId10" xr:uid="{3B9F8A42-662B-4570-A014-5D09D4BAE0E8}"/>
    <hyperlink ref="D268" r:id="rId11" xr:uid="{F736AB31-AE6A-475A-A143-8341A95D96FD}"/>
    <hyperlink ref="D159" r:id="rId12" xr:uid="{6EAFD166-9423-408B-972C-69B5E9250522}"/>
    <hyperlink ref="D273" r:id="rId13" xr:uid="{8D7D158C-4529-4815-A290-AEB15251157B}"/>
    <hyperlink ref="D292" r:id="rId14" xr:uid="{51DE782A-1486-4086-900F-92DFC21D755B}"/>
    <hyperlink ref="D152" r:id="rId15" xr:uid="{0767DBB8-AAF3-4789-B5FA-E97A1E327931}"/>
    <hyperlink ref="D281" r:id="rId16" xr:uid="{5F0EB73E-49C1-43C7-93FF-01F2CBBC66E1}"/>
    <hyperlink ref="D283" r:id="rId17" xr:uid="{2FC9607B-4204-47F6-A330-03F1C74D34EA}"/>
    <hyperlink ref="D285" r:id="rId18" xr:uid="{C7794049-EEAE-4CD9-95D9-75BE0A1F1683}"/>
    <hyperlink ref="D286" r:id="rId19" xr:uid="{2A1BE06C-DF15-4139-9EC3-EA1819ACE939}"/>
    <hyperlink ref="D288" r:id="rId20" xr:uid="{C76BC4E8-EBC2-4468-A07A-D4D2C5C16005}"/>
    <hyperlink ref="D160" r:id="rId21" xr:uid="{14F4171A-A510-4C27-90BF-717D9243B194}"/>
    <hyperlink ref="D161" r:id="rId22" xr:uid="{F58A44D2-0E4C-4B9A-BD69-CF34BFB747F8}"/>
    <hyperlink ref="D156" r:id="rId23" xr:uid="{6CBB19B2-EC24-462B-BB06-1DD1A14A4E9E}"/>
    <hyperlink ref="D157" r:id="rId24" xr:uid="{79089C88-D6A6-40E9-83CD-8122A91EF10F}"/>
    <hyperlink ref="D162" r:id="rId25" xr:uid="{09F48F0B-C8EE-4782-ADB5-6F8DFD0D3461}"/>
    <hyperlink ref="D295" r:id="rId26" xr:uid="{B27BB6D6-9C98-4FD7-BCA0-80280E9AA469}"/>
    <hyperlink ref="D146" r:id="rId27" xr:uid="{904117E0-4879-4068-868B-1A2E58EF99F6}"/>
    <hyperlink ref="D147" r:id="rId28" xr:uid="{A8C35B79-BC7F-481C-9E19-46EBCA989CFF}"/>
    <hyperlink ref="D149" r:id="rId29" xr:uid="{5B89B483-C49F-4C3F-9431-77ED16D58E27}"/>
    <hyperlink ref="D150" r:id="rId30" xr:uid="{9765725B-4BD8-4B6B-A0BD-05C395D9B79B}"/>
    <hyperlink ref="D151" r:id="rId31" xr:uid="{AD6EEA7B-9D30-4E68-B7D6-730746D2D511}"/>
    <hyperlink ref="D302" r:id="rId32" xr:uid="{98344D2E-2B1E-4B41-9DFF-18C959164200}"/>
    <hyperlink ref="C323" r:id="rId33" xr:uid="{04F3844E-644E-44FE-B2D0-F7DE369D3A90}"/>
    <hyperlink ref="C325" r:id="rId34" xr:uid="{ECE2D083-B5CB-4526-A0BA-0E6EDDE4F774}"/>
    <hyperlink ref="C341" r:id="rId35" xr:uid="{8C9736DB-CA32-4902-AC8F-6CA01B7EBBC9}"/>
  </hyperlinks>
  <pageMargins left="0.7" right="0.7" top="0.75" bottom="0.75" header="0.3" footer="0.3"/>
  <pageSetup orientation="portrait" r:id="rId3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9"/>
  <sheetViews>
    <sheetView workbookViewId="0">
      <selection activeCell="D11" sqref="D11"/>
    </sheetView>
  </sheetViews>
  <sheetFormatPr defaultRowHeight="15"/>
  <cols>
    <col min="1" max="1" width="42.140625" style="3" customWidth="1"/>
    <col min="2" max="2" width="59.140625" style="3" customWidth="1"/>
    <col min="3" max="3" width="29" style="3" customWidth="1"/>
    <col min="4" max="4" width="36.5703125" style="3" customWidth="1"/>
  </cols>
  <sheetData>
    <row r="1" spans="1:5" ht="15.75">
      <c r="A1" s="7" t="s">
        <v>979</v>
      </c>
    </row>
    <row r="2" spans="1:5">
      <c r="A2" s="5" t="s">
        <v>980</v>
      </c>
    </row>
    <row r="3" spans="1:5">
      <c r="A3" s="4" t="s">
        <v>981</v>
      </c>
    </row>
    <row r="4" spans="1:5">
      <c r="A4" s="2" t="s">
        <v>982</v>
      </c>
    </row>
    <row r="5" spans="1:5">
      <c r="A5" s="1" t="s">
        <v>983</v>
      </c>
    </row>
    <row r="6" spans="1:5">
      <c r="A6" s="3" t="s">
        <v>984</v>
      </c>
    </row>
    <row r="7" spans="1:5">
      <c r="A7" s="6" t="s">
        <v>985</v>
      </c>
    </row>
    <row r="8" spans="1:5" ht="60">
      <c r="A8" s="10" t="s">
        <v>986</v>
      </c>
    </row>
    <row r="9" spans="1:5">
      <c r="A9"/>
      <c r="B9"/>
      <c r="C9"/>
    </row>
    <row r="10" spans="1:5">
      <c r="A10" s="74" t="s">
        <v>0</v>
      </c>
      <c r="B10" s="74" t="s">
        <v>1</v>
      </c>
      <c r="C10" s="74" t="s">
        <v>3</v>
      </c>
      <c r="D10" s="74" t="s">
        <v>15</v>
      </c>
    </row>
    <row r="11" spans="1:5" ht="60">
      <c r="A11" s="75" t="s">
        <v>10</v>
      </c>
      <c r="B11" s="75" t="s">
        <v>11</v>
      </c>
      <c r="C11" s="75" t="s">
        <v>13</v>
      </c>
      <c r="D11" s="75" t="s">
        <v>987</v>
      </c>
    </row>
    <row r="12" spans="1:5" ht="84">
      <c r="A12" s="76" t="s">
        <v>16</v>
      </c>
      <c r="B12" s="76" t="s">
        <v>988</v>
      </c>
      <c r="C12" s="76" t="s">
        <v>989</v>
      </c>
      <c r="D12" s="76" t="s">
        <v>990</v>
      </c>
      <c r="E12" s="11"/>
    </row>
    <row r="13" spans="1:5" ht="60">
      <c r="A13" s="75" t="s">
        <v>23</v>
      </c>
      <c r="B13" s="75" t="s">
        <v>991</v>
      </c>
      <c r="C13" s="75" t="s">
        <v>992</v>
      </c>
      <c r="D13" s="75" t="s">
        <v>987</v>
      </c>
    </row>
    <row r="14" spans="1:5" ht="24">
      <c r="A14" s="77" t="s">
        <v>28</v>
      </c>
      <c r="B14" s="77" t="s">
        <v>29</v>
      </c>
      <c r="C14" s="77" t="s">
        <v>31</v>
      </c>
      <c r="D14" s="77"/>
    </row>
    <row r="15" spans="1:5" ht="36">
      <c r="A15" s="75" t="s">
        <v>34</v>
      </c>
      <c r="B15" s="78" t="s">
        <v>35</v>
      </c>
      <c r="C15" s="75" t="s">
        <v>993</v>
      </c>
      <c r="D15" s="75" t="s">
        <v>987</v>
      </c>
    </row>
    <row r="16" spans="1:5" ht="84">
      <c r="A16" s="79" t="s">
        <v>45</v>
      </c>
      <c r="B16" s="79" t="s">
        <v>46</v>
      </c>
      <c r="C16" s="79" t="s">
        <v>994</v>
      </c>
      <c r="D16" s="79" t="s">
        <v>995</v>
      </c>
    </row>
    <row r="17" spans="1:5" ht="142.5">
      <c r="A17" s="79" t="s">
        <v>996</v>
      </c>
      <c r="B17" s="79" t="s">
        <v>997</v>
      </c>
      <c r="C17" s="80" t="s">
        <v>998</v>
      </c>
      <c r="D17" s="79" t="s">
        <v>995</v>
      </c>
    </row>
    <row r="18" spans="1:5" ht="36">
      <c r="A18" s="75" t="s">
        <v>54</v>
      </c>
      <c r="B18" s="75" t="s">
        <v>55</v>
      </c>
      <c r="C18" s="75" t="s">
        <v>999</v>
      </c>
      <c r="D18" s="75" t="s">
        <v>987</v>
      </c>
    </row>
    <row r="19" spans="1:5">
      <c r="A19" s="79" t="s">
        <v>62</v>
      </c>
      <c r="B19" s="79" t="s">
        <v>63</v>
      </c>
      <c r="C19" s="79" t="s">
        <v>1000</v>
      </c>
      <c r="D19" s="79" t="s">
        <v>1001</v>
      </c>
    </row>
    <row r="20" spans="1:5" ht="24">
      <c r="A20" s="75" t="s">
        <v>1002</v>
      </c>
      <c r="B20" s="75" t="s">
        <v>68</v>
      </c>
      <c r="C20" s="75" t="s">
        <v>1002</v>
      </c>
      <c r="D20" s="75" t="s">
        <v>987</v>
      </c>
    </row>
    <row r="21" spans="1:5">
      <c r="A21" s="75" t="s">
        <v>71</v>
      </c>
      <c r="B21" s="75" t="s">
        <v>72</v>
      </c>
      <c r="C21" s="75" t="s">
        <v>71</v>
      </c>
      <c r="D21" s="75" t="s">
        <v>987</v>
      </c>
    </row>
    <row r="22" spans="1:5">
      <c r="A22" s="75" t="s">
        <v>74</v>
      </c>
      <c r="B22" s="75" t="s">
        <v>72</v>
      </c>
      <c r="C22" s="75" t="s">
        <v>74</v>
      </c>
      <c r="D22" s="75" t="s">
        <v>987</v>
      </c>
    </row>
    <row r="23" spans="1:5" ht="36">
      <c r="A23" s="79" t="s">
        <v>76</v>
      </c>
      <c r="B23" s="79" t="s">
        <v>77</v>
      </c>
      <c r="C23" s="79" t="s">
        <v>79</v>
      </c>
      <c r="D23" s="79" t="s">
        <v>1003</v>
      </c>
      <c r="E23" s="11"/>
    </row>
    <row r="24" spans="1:5">
      <c r="A24" s="81" t="s">
        <v>81</v>
      </c>
      <c r="B24" s="81" t="s">
        <v>82</v>
      </c>
      <c r="C24" s="81" t="s">
        <v>84</v>
      </c>
      <c r="D24" s="81" t="s">
        <v>987</v>
      </c>
    </row>
    <row r="25" spans="1:5" ht="96">
      <c r="A25" s="81" t="s">
        <v>86</v>
      </c>
      <c r="B25" s="82" t="s">
        <v>87</v>
      </c>
      <c r="C25" s="83" t="s">
        <v>1004</v>
      </c>
      <c r="D25" s="81" t="s">
        <v>987</v>
      </c>
    </row>
    <row r="26" spans="1:5" ht="24">
      <c r="A26" s="75" t="s">
        <v>91</v>
      </c>
      <c r="B26" s="75" t="s">
        <v>92</v>
      </c>
      <c r="C26" s="75" t="s">
        <v>1005</v>
      </c>
      <c r="D26" s="75" t="s">
        <v>1006</v>
      </c>
    </row>
    <row r="27" spans="1:5" ht="60">
      <c r="A27" s="81" t="s">
        <v>99</v>
      </c>
      <c r="B27" s="81" t="s">
        <v>1007</v>
      </c>
      <c r="C27" s="81" t="s">
        <v>1008</v>
      </c>
      <c r="D27" s="81" t="s">
        <v>1009</v>
      </c>
    </row>
    <row r="28" spans="1:5">
      <c r="A28" s="79" t="s">
        <v>105</v>
      </c>
      <c r="B28" s="79" t="s">
        <v>106</v>
      </c>
      <c r="C28" s="79" t="s">
        <v>108</v>
      </c>
      <c r="D28" s="79" t="s">
        <v>1009</v>
      </c>
    </row>
    <row r="29" spans="1:5" ht="72">
      <c r="A29" s="75" t="s">
        <v>110</v>
      </c>
      <c r="B29" s="75" t="s">
        <v>111</v>
      </c>
      <c r="C29" s="75" t="s">
        <v>1010</v>
      </c>
      <c r="D29" s="75" t="s">
        <v>1011</v>
      </c>
      <c r="E29" s="11"/>
    </row>
    <row r="30" spans="1:5" ht="72">
      <c r="A30" s="81" t="s">
        <v>1012</v>
      </c>
      <c r="B30" s="81" t="s">
        <v>117</v>
      </c>
      <c r="C30" s="81" t="s">
        <v>1013</v>
      </c>
      <c r="D30" s="81" t="s">
        <v>1011</v>
      </c>
    </row>
    <row r="31" spans="1:5" ht="36">
      <c r="A31" s="84" t="s">
        <v>1014</v>
      </c>
      <c r="B31" s="84" t="s">
        <v>121</v>
      </c>
      <c r="C31" s="84" t="s">
        <v>1015</v>
      </c>
      <c r="D31" s="84" t="s">
        <v>1016</v>
      </c>
      <c r="E31" s="11"/>
    </row>
    <row r="32" spans="1:5" ht="84">
      <c r="A32" s="81" t="s">
        <v>125</v>
      </c>
      <c r="B32" s="81" t="s">
        <v>126</v>
      </c>
      <c r="C32" s="81" t="s">
        <v>1017</v>
      </c>
      <c r="D32" s="81" t="s">
        <v>1011</v>
      </c>
    </row>
    <row r="33" spans="1:4" ht="48">
      <c r="A33" s="85" t="s">
        <v>130</v>
      </c>
      <c r="B33" s="81" t="s">
        <v>131</v>
      </c>
      <c r="C33" s="81" t="s">
        <v>133</v>
      </c>
      <c r="D33" s="81" t="s">
        <v>1011</v>
      </c>
    </row>
    <row r="34" spans="1:4" ht="48">
      <c r="A34" s="85" t="s">
        <v>1018</v>
      </c>
      <c r="B34" s="81" t="s">
        <v>136</v>
      </c>
      <c r="C34" s="81" t="s">
        <v>1019</v>
      </c>
      <c r="D34" s="81" t="s">
        <v>1011</v>
      </c>
    </row>
    <row r="35" spans="1:4" ht="130.5">
      <c r="A35" s="86" t="s">
        <v>141</v>
      </c>
      <c r="B35" s="77" t="s">
        <v>1020</v>
      </c>
      <c r="C35" s="77" t="s">
        <v>1021</v>
      </c>
      <c r="D35" s="77" t="s">
        <v>1022</v>
      </c>
    </row>
    <row r="36" spans="1:4" ht="118.5">
      <c r="A36" s="87" t="s">
        <v>146</v>
      </c>
      <c r="B36" s="84" t="s">
        <v>147</v>
      </c>
      <c r="C36" s="84" t="s">
        <v>1023</v>
      </c>
      <c r="D36" s="84" t="s">
        <v>1011</v>
      </c>
    </row>
    <row r="37" spans="1:4" ht="36">
      <c r="A37" s="87" t="s">
        <v>1024</v>
      </c>
      <c r="B37" s="84" t="s">
        <v>1025</v>
      </c>
      <c r="C37" s="84" t="s">
        <v>1026</v>
      </c>
      <c r="D37" s="84" t="s">
        <v>1011</v>
      </c>
    </row>
    <row r="38" spans="1:4" ht="118.5">
      <c r="A38" s="77" t="s">
        <v>155</v>
      </c>
      <c r="B38" s="77" t="s">
        <v>156</v>
      </c>
      <c r="C38" s="77" t="s">
        <v>158</v>
      </c>
      <c r="D38" s="77"/>
    </row>
    <row r="39" spans="1:4" ht="36">
      <c r="A39" s="77" t="s">
        <v>1027</v>
      </c>
      <c r="B39" s="77" t="s">
        <v>1028</v>
      </c>
      <c r="C39" s="77" t="s">
        <v>166</v>
      </c>
      <c r="D39" s="77"/>
    </row>
    <row r="40" spans="1:4" s="13" customFormat="1">
      <c r="A40" s="75" t="s">
        <v>1029</v>
      </c>
      <c r="B40" s="75" t="s">
        <v>1030</v>
      </c>
      <c r="C40" s="75" t="s">
        <v>1031</v>
      </c>
      <c r="D40" s="75" t="s">
        <v>1011</v>
      </c>
    </row>
    <row r="42" spans="1:4">
      <c r="A42"/>
      <c r="B42"/>
      <c r="C42"/>
    </row>
    <row r="43" spans="1:4">
      <c r="A43"/>
      <c r="B43"/>
      <c r="C43" s="12"/>
    </row>
    <row r="44" spans="1:4" ht="18.75">
      <c r="A44" s="8" t="s">
        <v>0</v>
      </c>
      <c r="B44" s="8" t="s">
        <v>1</v>
      </c>
      <c r="C44" s="8" t="s">
        <v>3</v>
      </c>
    </row>
    <row r="45" spans="1:4" ht="45">
      <c r="A45" s="3" t="s">
        <v>172</v>
      </c>
      <c r="B45" s="3" t="s">
        <v>173</v>
      </c>
      <c r="C45" s="3" t="s">
        <v>175</v>
      </c>
    </row>
    <row r="46" spans="1:4" ht="30">
      <c r="A46" s="3" t="s">
        <v>177</v>
      </c>
      <c r="B46" s="3" t="s">
        <v>178</v>
      </c>
      <c r="C46" s="3" t="s">
        <v>177</v>
      </c>
    </row>
    <row r="47" spans="1:4" ht="60">
      <c r="A47" s="3" t="s">
        <v>181</v>
      </c>
      <c r="B47" s="3" t="s">
        <v>182</v>
      </c>
      <c r="C47" s="3" t="s">
        <v>1032</v>
      </c>
    </row>
    <row r="48" spans="1:4" ht="90">
      <c r="A48" s="3" t="s">
        <v>1033</v>
      </c>
      <c r="B48" s="3" t="s">
        <v>1034</v>
      </c>
      <c r="C48" s="3" t="s">
        <v>1035</v>
      </c>
    </row>
    <row r="49" spans="1:4" ht="45">
      <c r="A49" s="3" t="s">
        <v>186</v>
      </c>
      <c r="B49" s="3" t="s">
        <v>187</v>
      </c>
      <c r="C49" s="3" t="s">
        <v>189</v>
      </c>
    </row>
    <row r="50" spans="1:4">
      <c r="A50" s="3" t="s">
        <v>1036</v>
      </c>
      <c r="B50" s="3" t="s">
        <v>1025</v>
      </c>
      <c r="C50" s="3" t="s">
        <v>1037</v>
      </c>
    </row>
    <row r="51" spans="1:4">
      <c r="A51"/>
      <c r="B51"/>
      <c r="C51" s="5"/>
      <c r="D51" s="5"/>
    </row>
    <row r="52" spans="1:4" ht="18.75">
      <c r="A52" s="8" t="s">
        <v>0</v>
      </c>
      <c r="B52" s="8" t="s">
        <v>1</v>
      </c>
      <c r="C52" s="8" t="s">
        <v>3</v>
      </c>
    </row>
    <row r="53" spans="1:4">
      <c r="A53" s="3" t="s">
        <v>218</v>
      </c>
      <c r="B53" s="3" t="s">
        <v>219</v>
      </c>
      <c r="C53" s="3" t="s">
        <v>221</v>
      </c>
    </row>
    <row r="54" spans="1:4" ht="90">
      <c r="A54" s="3" t="s">
        <v>223</v>
      </c>
      <c r="B54" s="3" t="s">
        <v>224</v>
      </c>
      <c r="C54" s="3" t="s">
        <v>1035</v>
      </c>
    </row>
    <row r="56" spans="1:4">
      <c r="A56"/>
      <c r="B56"/>
      <c r="C56" s="9"/>
      <c r="D56" s="9"/>
    </row>
    <row r="57" spans="1:4" ht="18.75">
      <c r="A57" s="8" t="s">
        <v>0</v>
      </c>
      <c r="B57" s="8" t="s">
        <v>1</v>
      </c>
      <c r="C57" s="8" t="s">
        <v>3</v>
      </c>
    </row>
    <row r="61" spans="1:4">
      <c r="A61"/>
      <c r="B61"/>
      <c r="C61" s="2"/>
      <c r="D61" s="2"/>
    </row>
    <row r="62" spans="1:4" ht="18.75">
      <c r="A62" s="8" t="s">
        <v>0</v>
      </c>
      <c r="B62" s="8" t="s">
        <v>1</v>
      </c>
      <c r="C62" s="8" t="s">
        <v>3</v>
      </c>
    </row>
    <row r="63" spans="1:4" ht="120">
      <c r="A63" s="3" t="s">
        <v>234</v>
      </c>
      <c r="B63" s="3" t="s">
        <v>235</v>
      </c>
      <c r="C63" s="3" t="s">
        <v>237</v>
      </c>
    </row>
    <row r="66" spans="1:3">
      <c r="A66"/>
      <c r="B66"/>
    </row>
    <row r="67" spans="1:3" ht="18.75">
      <c r="A67" s="8" t="s">
        <v>0</v>
      </c>
      <c r="B67" s="8" t="s">
        <v>1</v>
      </c>
      <c r="C67" s="8" t="s">
        <v>3</v>
      </c>
    </row>
    <row r="68" spans="1:3" ht="300">
      <c r="A68" s="3" t="s">
        <v>240</v>
      </c>
      <c r="B68" s="3" t="s">
        <v>241</v>
      </c>
      <c r="C68" s="3" t="s">
        <v>243</v>
      </c>
    </row>
    <row r="69" spans="1:3" ht="45">
      <c r="A69" s="3" t="s">
        <v>244</v>
      </c>
      <c r="B69" s="3" t="s">
        <v>245</v>
      </c>
      <c r="C69" s="3" t="s">
        <v>1038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B8B71-9D32-4121-846C-1320AA504B0B}">
  <dimension ref="A1:G1048568"/>
  <sheetViews>
    <sheetView workbookViewId="0">
      <selection activeCell="G9" sqref="G9"/>
    </sheetView>
  </sheetViews>
  <sheetFormatPr defaultRowHeight="16.5"/>
  <cols>
    <col min="1" max="1" width="42.140625" style="34" customWidth="1"/>
    <col min="2" max="2" width="59.140625" style="34" customWidth="1"/>
    <col min="3" max="3" width="39" style="38" customWidth="1"/>
    <col min="4" max="4" width="41.85546875" style="34" customWidth="1"/>
    <col min="5" max="5" width="15" style="32" customWidth="1"/>
    <col min="6" max="6" width="9.140625" style="14"/>
    <col min="7" max="7" width="22" style="14" customWidth="1"/>
    <col min="8" max="16384" width="9.140625" style="14"/>
  </cols>
  <sheetData>
    <row r="1" spans="1:6">
      <c r="E1" s="32" t="e">
        <f>E2+#REF!</f>
        <v>#VALUE!</v>
      </c>
    </row>
    <row r="2" spans="1:6" s="17" customFormat="1">
      <c r="A2" s="30" t="s">
        <v>1039</v>
      </c>
      <c r="B2" s="30" t="s">
        <v>1040</v>
      </c>
      <c r="C2" s="29" t="s">
        <v>1041</v>
      </c>
      <c r="D2" s="31" t="s">
        <v>1042</v>
      </c>
      <c r="E2" s="33" t="s">
        <v>1043</v>
      </c>
    </row>
    <row r="3" spans="1:6" ht="82.5">
      <c r="A3" s="44" t="s">
        <v>10</v>
      </c>
      <c r="B3" s="44" t="s">
        <v>11</v>
      </c>
      <c r="C3" s="45" t="s">
        <v>12</v>
      </c>
      <c r="D3" s="46" t="s">
        <v>13</v>
      </c>
      <c r="E3" s="47">
        <v>5</v>
      </c>
      <c r="F3" s="50" t="s">
        <v>1044</v>
      </c>
    </row>
    <row r="4" spans="1:6" ht="115.5">
      <c r="A4" s="59" t="s">
        <v>16</v>
      </c>
      <c r="B4" s="44" t="s">
        <v>17</v>
      </c>
      <c r="C4" s="60" t="s">
        <v>18</v>
      </c>
      <c r="D4" s="46" t="s">
        <v>19</v>
      </c>
      <c r="E4" s="47">
        <v>7</v>
      </c>
      <c r="F4" s="50" t="s">
        <v>1045</v>
      </c>
    </row>
    <row r="5" spans="1:6" ht="329.25">
      <c r="A5" s="44" t="s">
        <v>23</v>
      </c>
      <c r="B5" s="44" t="s">
        <v>24</v>
      </c>
      <c r="C5" s="45" t="s">
        <v>25</v>
      </c>
      <c r="D5" s="48" t="s">
        <v>1046</v>
      </c>
      <c r="E5" s="49">
        <v>4</v>
      </c>
      <c r="F5" s="63" t="s">
        <v>1044</v>
      </c>
    </row>
    <row r="6" spans="1:6" ht="49.5">
      <c r="A6" s="44" t="s">
        <v>28</v>
      </c>
      <c r="B6" s="44" t="s">
        <v>29</v>
      </c>
      <c r="C6" s="45" t="s">
        <v>30</v>
      </c>
      <c r="D6" s="46" t="s">
        <v>31</v>
      </c>
      <c r="E6" s="49">
        <v>2</v>
      </c>
      <c r="F6" s="50" t="s">
        <v>1047</v>
      </c>
    </row>
    <row r="7" spans="1:6" ht="132">
      <c r="A7" s="51" t="s">
        <v>34</v>
      </c>
      <c r="B7" s="52" t="s">
        <v>35</v>
      </c>
      <c r="C7" s="45" t="s">
        <v>36</v>
      </c>
      <c r="D7" s="46" t="s">
        <v>37</v>
      </c>
      <c r="E7" s="49">
        <v>7</v>
      </c>
      <c r="F7" s="50" t="s">
        <v>1044</v>
      </c>
    </row>
    <row r="8" spans="1:6" ht="115.5">
      <c r="A8" s="290" t="s">
        <v>45</v>
      </c>
      <c r="B8" s="44" t="s">
        <v>46</v>
      </c>
      <c r="C8" s="45" t="s">
        <v>47</v>
      </c>
      <c r="D8" s="48" t="s">
        <v>1048</v>
      </c>
      <c r="E8" s="49">
        <v>5</v>
      </c>
      <c r="F8" s="50" t="s">
        <v>1049</v>
      </c>
    </row>
    <row r="9" spans="1:6" ht="213.75">
      <c r="A9" s="291"/>
      <c r="B9" s="44" t="s">
        <v>50</v>
      </c>
      <c r="C9" s="45" t="s">
        <v>51</v>
      </c>
      <c r="D9" s="48" t="s">
        <v>1050</v>
      </c>
      <c r="E9" s="49">
        <v>13</v>
      </c>
      <c r="F9" s="50" t="s">
        <v>1051</v>
      </c>
    </row>
    <row r="10" spans="1:6" ht="66">
      <c r="A10" s="44" t="s">
        <v>54</v>
      </c>
      <c r="B10" s="44" t="s">
        <v>55</v>
      </c>
      <c r="C10" s="45" t="s">
        <v>1052</v>
      </c>
      <c r="D10" s="46" t="s">
        <v>1053</v>
      </c>
      <c r="E10" s="49">
        <v>4</v>
      </c>
      <c r="F10" s="50" t="s">
        <v>1054</v>
      </c>
    </row>
    <row r="11" spans="1:6" ht="49.5">
      <c r="A11" s="44" t="s">
        <v>62</v>
      </c>
      <c r="B11" s="44" t="s">
        <v>63</v>
      </c>
      <c r="C11" s="45" t="s">
        <v>64</v>
      </c>
      <c r="D11" s="46" t="s">
        <v>65</v>
      </c>
      <c r="E11" s="49">
        <v>1</v>
      </c>
      <c r="F11" s="50" t="s">
        <v>1049</v>
      </c>
    </row>
    <row r="12" spans="1:6" ht="66">
      <c r="A12" s="44" t="s">
        <v>67</v>
      </c>
      <c r="B12" s="44" t="s">
        <v>68</v>
      </c>
      <c r="C12" s="45" t="s">
        <v>69</v>
      </c>
      <c r="D12" s="46" t="s">
        <v>1002</v>
      </c>
      <c r="E12" s="47">
        <v>2</v>
      </c>
      <c r="F12" s="50" t="s">
        <v>1044</v>
      </c>
    </row>
    <row r="13" spans="1:6" ht="33">
      <c r="A13" s="44" t="s">
        <v>71</v>
      </c>
      <c r="B13" s="44" t="s">
        <v>72</v>
      </c>
      <c r="C13" s="45" t="s">
        <v>73</v>
      </c>
      <c r="D13" s="46" t="s">
        <v>71</v>
      </c>
      <c r="E13" s="47">
        <v>1</v>
      </c>
      <c r="F13" s="50" t="s">
        <v>1044</v>
      </c>
    </row>
    <row r="14" spans="1:6" ht="33">
      <c r="A14" s="44" t="s">
        <v>74</v>
      </c>
      <c r="B14" s="44" t="s">
        <v>72</v>
      </c>
      <c r="C14" s="45" t="s">
        <v>75</v>
      </c>
      <c r="D14" s="46" t="s">
        <v>74</v>
      </c>
      <c r="E14" s="47">
        <v>1</v>
      </c>
      <c r="F14" s="50" t="s">
        <v>1044</v>
      </c>
    </row>
    <row r="15" spans="1:6" ht="49.5">
      <c r="A15" s="44" t="s">
        <v>76</v>
      </c>
      <c r="B15" s="44" t="s">
        <v>77</v>
      </c>
      <c r="C15" s="45" t="s">
        <v>78</v>
      </c>
      <c r="D15" s="46" t="s">
        <v>79</v>
      </c>
      <c r="E15" s="47">
        <v>3</v>
      </c>
      <c r="F15" s="50" t="s">
        <v>1045</v>
      </c>
    </row>
    <row r="16" spans="1:6" ht="49.5">
      <c r="A16" s="44" t="s">
        <v>81</v>
      </c>
      <c r="B16" s="44" t="s">
        <v>82</v>
      </c>
      <c r="C16" s="45" t="s">
        <v>83</v>
      </c>
      <c r="D16" s="46" t="s">
        <v>84</v>
      </c>
      <c r="E16" s="49">
        <v>1</v>
      </c>
      <c r="F16" s="50" t="s">
        <v>1045</v>
      </c>
    </row>
    <row r="17" spans="1:7" ht="263.25">
      <c r="A17" s="44" t="s">
        <v>86</v>
      </c>
      <c r="B17" s="44" t="s">
        <v>87</v>
      </c>
      <c r="C17" s="55" t="s">
        <v>1055</v>
      </c>
      <c r="D17" s="46" t="s">
        <v>1056</v>
      </c>
      <c r="E17" s="49">
        <v>7</v>
      </c>
      <c r="F17" s="50" t="s">
        <v>1049</v>
      </c>
    </row>
    <row r="18" spans="1:7" ht="115.5">
      <c r="A18" s="58" t="s">
        <v>91</v>
      </c>
      <c r="B18" s="44" t="s">
        <v>96</v>
      </c>
      <c r="C18" s="45" t="s">
        <v>97</v>
      </c>
      <c r="D18" s="58" t="s">
        <v>1057</v>
      </c>
      <c r="E18" s="49">
        <v>6</v>
      </c>
      <c r="F18" s="50" t="s">
        <v>1054</v>
      </c>
    </row>
    <row r="19" spans="1:7" ht="180.75">
      <c r="A19" s="53" t="s">
        <v>99</v>
      </c>
      <c r="B19" s="44" t="s">
        <v>100</v>
      </c>
      <c r="C19" s="45" t="s">
        <v>101</v>
      </c>
      <c r="D19" s="46" t="s">
        <v>1058</v>
      </c>
      <c r="E19" s="64">
        <v>5</v>
      </c>
      <c r="F19" s="50" t="s">
        <v>1045</v>
      </c>
    </row>
    <row r="20" spans="1:7" ht="115.5">
      <c r="A20" s="44" t="s">
        <v>110</v>
      </c>
      <c r="B20" s="44" t="s">
        <v>111</v>
      </c>
      <c r="C20" s="45" t="s">
        <v>112</v>
      </c>
      <c r="D20" s="46" t="s">
        <v>113</v>
      </c>
      <c r="E20" s="49">
        <v>7</v>
      </c>
      <c r="F20" s="50" t="s">
        <v>1044</v>
      </c>
    </row>
    <row r="21" spans="1:7" ht="66">
      <c r="A21" s="58" t="s">
        <v>116</v>
      </c>
      <c r="B21" s="44" t="s">
        <v>117</v>
      </c>
      <c r="C21" s="45" t="s">
        <v>118</v>
      </c>
      <c r="D21" s="46" t="s">
        <v>119</v>
      </c>
      <c r="E21" s="49">
        <v>3</v>
      </c>
      <c r="F21" s="50" t="s">
        <v>1045</v>
      </c>
    </row>
    <row r="22" spans="1:7" ht="115.5">
      <c r="A22" s="44" t="s">
        <v>125</v>
      </c>
      <c r="B22" s="44" t="s">
        <v>126</v>
      </c>
      <c r="C22" s="45" t="s">
        <v>127</v>
      </c>
      <c r="D22" s="46" t="s">
        <v>128</v>
      </c>
      <c r="E22" s="49">
        <v>6</v>
      </c>
      <c r="F22" s="50" t="s">
        <v>1045</v>
      </c>
    </row>
    <row r="23" spans="1:7" ht="66">
      <c r="A23" s="52" t="s">
        <v>130</v>
      </c>
      <c r="B23" s="44" t="s">
        <v>131</v>
      </c>
      <c r="C23" s="61" t="s">
        <v>132</v>
      </c>
      <c r="D23" s="46" t="s">
        <v>133</v>
      </c>
      <c r="E23" s="49">
        <v>4</v>
      </c>
      <c r="F23" s="50" t="s">
        <v>1045</v>
      </c>
    </row>
    <row r="24" spans="1:7" ht="115.5">
      <c r="A24" s="52" t="s">
        <v>135</v>
      </c>
      <c r="B24" s="44" t="s">
        <v>136</v>
      </c>
      <c r="C24" s="45" t="s">
        <v>137</v>
      </c>
      <c r="D24" s="46" t="s">
        <v>138</v>
      </c>
      <c r="E24" s="49">
        <v>7</v>
      </c>
      <c r="F24" s="50" t="s">
        <v>1059</v>
      </c>
    </row>
    <row r="25" spans="1:7" ht="66">
      <c r="A25" s="52" t="s">
        <v>141</v>
      </c>
      <c r="B25" s="44" t="s">
        <v>142</v>
      </c>
      <c r="C25" s="45" t="s">
        <v>143</v>
      </c>
      <c r="D25" s="46" t="s">
        <v>144</v>
      </c>
      <c r="E25" s="49">
        <v>1</v>
      </c>
      <c r="F25" s="50" t="s">
        <v>1047</v>
      </c>
    </row>
    <row r="26" spans="1:7" ht="180.75">
      <c r="A26" s="52" t="s">
        <v>146</v>
      </c>
      <c r="B26" s="44" t="s">
        <v>147</v>
      </c>
      <c r="C26" s="45" t="s">
        <v>148</v>
      </c>
      <c r="D26" s="46" t="s">
        <v>149</v>
      </c>
      <c r="E26" s="49">
        <v>11</v>
      </c>
      <c r="F26" s="50" t="s">
        <v>1049</v>
      </c>
      <c r="G26" s="36" t="s">
        <v>1060</v>
      </c>
    </row>
    <row r="27" spans="1:7" ht="49.5">
      <c r="A27" s="44" t="s">
        <v>196</v>
      </c>
      <c r="B27" s="44" t="s">
        <v>1061</v>
      </c>
      <c r="C27" s="45" t="s">
        <v>1062</v>
      </c>
      <c r="D27" s="58" t="s">
        <v>199</v>
      </c>
      <c r="E27" s="49">
        <v>2</v>
      </c>
      <c r="F27" s="50" t="s">
        <v>1045</v>
      </c>
    </row>
    <row r="28" spans="1:7" ht="148.5">
      <c r="A28" s="44" t="s">
        <v>208</v>
      </c>
      <c r="B28" s="44" t="s">
        <v>209</v>
      </c>
      <c r="C28" s="45" t="s">
        <v>210</v>
      </c>
      <c r="D28" s="48" t="s">
        <v>211</v>
      </c>
      <c r="E28" s="49">
        <v>9</v>
      </c>
      <c r="F28" s="50" t="s">
        <v>1045</v>
      </c>
    </row>
    <row r="29" spans="1:7" ht="49.5">
      <c r="A29" s="44" t="s">
        <v>218</v>
      </c>
      <c r="B29" s="44" t="s">
        <v>219</v>
      </c>
      <c r="C29" s="45" t="s">
        <v>220</v>
      </c>
      <c r="D29" s="46" t="s">
        <v>221</v>
      </c>
      <c r="E29" s="49">
        <v>1</v>
      </c>
      <c r="F29" s="50" t="s">
        <v>1045</v>
      </c>
    </row>
    <row r="30" spans="1:7" ht="66">
      <c r="A30" s="44" t="s">
        <v>229</v>
      </c>
      <c r="B30" s="44" t="s">
        <v>230</v>
      </c>
      <c r="C30" s="45" t="s">
        <v>231</v>
      </c>
      <c r="D30" s="46" t="s">
        <v>232</v>
      </c>
      <c r="E30" s="49">
        <v>3</v>
      </c>
      <c r="F30" s="50" t="s">
        <v>1045</v>
      </c>
    </row>
    <row r="31" spans="1:7" ht="49.5">
      <c r="A31" s="53" t="s">
        <v>253</v>
      </c>
      <c r="B31" s="44" t="s">
        <v>254</v>
      </c>
      <c r="C31" s="45" t="s">
        <v>255</v>
      </c>
      <c r="D31" s="46" t="s">
        <v>1063</v>
      </c>
      <c r="E31" s="47">
        <v>2</v>
      </c>
      <c r="F31" s="50" t="s">
        <v>1045</v>
      </c>
    </row>
    <row r="32" spans="1:7" ht="49.5">
      <c r="A32" s="44" t="s">
        <v>272</v>
      </c>
      <c r="B32" s="44" t="s">
        <v>273</v>
      </c>
      <c r="C32" s="45" t="s">
        <v>274</v>
      </c>
      <c r="D32" s="46" t="s">
        <v>275</v>
      </c>
      <c r="E32" s="47">
        <v>1</v>
      </c>
      <c r="F32" s="50" t="s">
        <v>1045</v>
      </c>
    </row>
    <row r="33" spans="1:7" ht="49.5">
      <c r="A33" s="52" t="s">
        <v>293</v>
      </c>
      <c r="B33" s="52" t="s">
        <v>294</v>
      </c>
      <c r="C33" s="55" t="s">
        <v>295</v>
      </c>
      <c r="D33" s="48" t="s">
        <v>296</v>
      </c>
      <c r="E33" s="49">
        <v>1</v>
      </c>
      <c r="F33" s="50" t="s">
        <v>1045</v>
      </c>
    </row>
    <row r="34" spans="1:7" ht="49.5">
      <c r="A34" s="52" t="s">
        <v>299</v>
      </c>
      <c r="B34" s="52" t="s">
        <v>300</v>
      </c>
      <c r="C34" s="55" t="s">
        <v>301</v>
      </c>
      <c r="D34" s="48" t="s">
        <v>302</v>
      </c>
      <c r="E34" s="49">
        <v>2</v>
      </c>
      <c r="F34" s="50" t="s">
        <v>1045</v>
      </c>
    </row>
    <row r="35" spans="1:7" ht="49.5">
      <c r="A35" s="44" t="s">
        <v>309</v>
      </c>
      <c r="B35" s="44" t="s">
        <v>310</v>
      </c>
      <c r="C35" s="45" t="s">
        <v>311</v>
      </c>
      <c r="D35" s="46" t="s">
        <v>312</v>
      </c>
      <c r="E35" s="49">
        <v>3</v>
      </c>
      <c r="F35" s="50" t="s">
        <v>1064</v>
      </c>
    </row>
    <row r="36" spans="1:7" ht="49.5">
      <c r="A36" s="53" t="s">
        <v>332</v>
      </c>
      <c r="B36" s="44" t="s">
        <v>333</v>
      </c>
      <c r="C36" s="45" t="s">
        <v>334</v>
      </c>
      <c r="D36" s="46" t="s">
        <v>335</v>
      </c>
      <c r="E36" s="54">
        <v>1</v>
      </c>
      <c r="F36" s="50" t="s">
        <v>1065</v>
      </c>
    </row>
    <row r="37" spans="1:7" ht="49.5">
      <c r="A37" s="52" t="s">
        <v>323</v>
      </c>
      <c r="B37" s="44" t="s">
        <v>324</v>
      </c>
      <c r="C37" s="45" t="s">
        <v>325</v>
      </c>
      <c r="D37" s="46" t="s">
        <v>326</v>
      </c>
      <c r="E37" s="54">
        <v>1</v>
      </c>
      <c r="F37" s="50" t="s">
        <v>1045</v>
      </c>
    </row>
    <row r="38" spans="1:7" ht="99">
      <c r="A38" s="44" t="s">
        <v>1066</v>
      </c>
      <c r="B38" s="44" t="s">
        <v>338</v>
      </c>
      <c r="C38" s="45" t="s">
        <v>339</v>
      </c>
      <c r="D38" s="46" t="s">
        <v>340</v>
      </c>
      <c r="E38" s="49">
        <v>6</v>
      </c>
      <c r="F38" s="50" t="s">
        <v>1045</v>
      </c>
    </row>
    <row r="39" spans="1:7" ht="49.5">
      <c r="A39" s="53" t="s">
        <v>351</v>
      </c>
      <c r="B39" s="44" t="s">
        <v>352</v>
      </c>
      <c r="C39" s="45" t="s">
        <v>353</v>
      </c>
      <c r="D39" s="46" t="s">
        <v>354</v>
      </c>
      <c r="E39" s="47">
        <v>1</v>
      </c>
      <c r="F39" s="50" t="s">
        <v>1067</v>
      </c>
    </row>
    <row r="40" spans="1:7" ht="115.5">
      <c r="A40" s="53" t="s">
        <v>415</v>
      </c>
      <c r="B40" s="44" t="s">
        <v>416</v>
      </c>
      <c r="C40" s="45" t="s">
        <v>1068</v>
      </c>
      <c r="D40" s="46" t="s">
        <v>1069</v>
      </c>
      <c r="E40" s="49">
        <v>7</v>
      </c>
      <c r="F40" s="50" t="s">
        <v>1045</v>
      </c>
    </row>
    <row r="41" spans="1:7" ht="49.5">
      <c r="A41" s="66" t="s">
        <v>425</v>
      </c>
      <c r="B41" s="51" t="s">
        <v>426</v>
      </c>
      <c r="C41" s="60" t="s">
        <v>1070</v>
      </c>
      <c r="D41" s="67" t="s">
        <v>428</v>
      </c>
      <c r="E41" s="49">
        <v>1</v>
      </c>
      <c r="F41" s="50" t="s">
        <v>1071</v>
      </c>
    </row>
    <row r="42" spans="1:7" ht="115.5">
      <c r="A42" s="44" t="s">
        <v>439</v>
      </c>
      <c r="B42" s="44" t="s">
        <v>440</v>
      </c>
      <c r="C42" s="45" t="s">
        <v>441</v>
      </c>
      <c r="D42" s="46" t="s">
        <v>1072</v>
      </c>
      <c r="E42" s="49">
        <v>7</v>
      </c>
      <c r="F42" s="50" t="s">
        <v>1051</v>
      </c>
      <c r="G42" s="36"/>
    </row>
    <row r="43" spans="1:7" ht="33">
      <c r="A43" s="44" t="s">
        <v>1073</v>
      </c>
      <c r="B43" s="44" t="s">
        <v>1074</v>
      </c>
      <c r="C43" s="62"/>
      <c r="D43" s="46" t="s">
        <v>1075</v>
      </c>
      <c r="E43" s="49">
        <v>1</v>
      </c>
      <c r="F43" s="50" t="s">
        <v>1054</v>
      </c>
    </row>
    <row r="44" spans="1:7" ht="33">
      <c r="A44" s="65" t="s">
        <v>1029</v>
      </c>
      <c r="B44" s="57" t="s">
        <v>1030</v>
      </c>
      <c r="C44" s="45"/>
      <c r="D44" s="57" t="s">
        <v>1031</v>
      </c>
      <c r="E44" s="49">
        <v>1</v>
      </c>
      <c r="F44" s="50" t="s">
        <v>1054</v>
      </c>
    </row>
    <row r="45" spans="1:7" ht="49.5">
      <c r="A45" s="53" t="s">
        <v>498</v>
      </c>
      <c r="B45" s="52" t="s">
        <v>499</v>
      </c>
      <c r="C45" s="55" t="s">
        <v>500</v>
      </c>
      <c r="D45" s="56" t="s">
        <v>501</v>
      </c>
      <c r="E45" s="49">
        <v>1</v>
      </c>
      <c r="F45" s="50" t="s">
        <v>1065</v>
      </c>
    </row>
    <row r="46" spans="1:7">
      <c r="A46" s="37"/>
      <c r="B46" s="37"/>
      <c r="C46" s="39"/>
      <c r="D46" s="72" t="s">
        <v>1076</v>
      </c>
      <c r="E46" s="73">
        <f>SUM(E2:E45)</f>
        <v>164</v>
      </c>
    </row>
    <row r="47" spans="1:7" ht="49.5">
      <c r="A47" s="49" t="s">
        <v>1077</v>
      </c>
      <c r="B47" s="49" t="s">
        <v>1078</v>
      </c>
      <c r="C47" s="68" t="s">
        <v>1079</v>
      </c>
      <c r="D47" s="47" t="s">
        <v>1080</v>
      </c>
      <c r="E47" s="49">
        <v>3</v>
      </c>
      <c r="F47" s="50" t="s">
        <v>1081</v>
      </c>
    </row>
    <row r="48" spans="1:7" ht="49.5">
      <c r="A48" s="49" t="s">
        <v>258</v>
      </c>
      <c r="B48" s="49" t="s">
        <v>1082</v>
      </c>
      <c r="C48" s="68" t="s">
        <v>1083</v>
      </c>
      <c r="D48" s="47" t="s">
        <v>1084</v>
      </c>
      <c r="E48" s="49">
        <v>2</v>
      </c>
      <c r="F48" s="50" t="s">
        <v>1045</v>
      </c>
    </row>
    <row r="49" spans="1:6" ht="33">
      <c r="A49" s="49" t="s">
        <v>1085</v>
      </c>
      <c r="B49" s="49" t="s">
        <v>1086</v>
      </c>
      <c r="C49" s="69" t="s">
        <v>1087</v>
      </c>
      <c r="D49" s="49" t="s">
        <v>1088</v>
      </c>
      <c r="E49" s="49">
        <v>1</v>
      </c>
      <c r="F49" s="50" t="s">
        <v>1054</v>
      </c>
    </row>
    <row r="50" spans="1:6" ht="33">
      <c r="A50" s="49" t="s">
        <v>1089</v>
      </c>
      <c r="B50" s="49" t="s">
        <v>1090</v>
      </c>
      <c r="C50" s="69" t="s">
        <v>1091</v>
      </c>
      <c r="D50" s="49" t="s">
        <v>774</v>
      </c>
      <c r="E50" s="49">
        <v>1</v>
      </c>
      <c r="F50" s="50" t="s">
        <v>1054</v>
      </c>
    </row>
    <row r="51" spans="1:6" ht="165">
      <c r="A51" s="49" t="s">
        <v>1092</v>
      </c>
      <c r="B51" s="49" t="s">
        <v>1093</v>
      </c>
      <c r="C51" s="70" t="s">
        <v>1094</v>
      </c>
      <c r="D51" s="47" t="s">
        <v>1095</v>
      </c>
      <c r="E51" s="49">
        <v>10</v>
      </c>
      <c r="F51" s="50" t="s">
        <v>1067</v>
      </c>
    </row>
    <row r="52" spans="1:6" ht="49.5">
      <c r="A52" s="49" t="s">
        <v>1096</v>
      </c>
      <c r="B52" s="49" t="s">
        <v>1097</v>
      </c>
      <c r="C52" s="69" t="s">
        <v>1098</v>
      </c>
      <c r="D52" s="47" t="s">
        <v>1099</v>
      </c>
      <c r="E52" s="49">
        <v>3</v>
      </c>
      <c r="F52" s="50" t="s">
        <v>1100</v>
      </c>
    </row>
    <row r="53" spans="1:6" ht="33">
      <c r="A53" s="49" t="s">
        <v>1101</v>
      </c>
      <c r="B53" s="49" t="s">
        <v>1102</v>
      </c>
      <c r="C53" s="69"/>
      <c r="D53" s="49" t="s">
        <v>1103</v>
      </c>
      <c r="E53" s="49">
        <v>1</v>
      </c>
      <c r="F53" s="50" t="s">
        <v>1054</v>
      </c>
    </row>
    <row r="54" spans="1:6" ht="49.5">
      <c r="A54" s="49" t="s">
        <v>1104</v>
      </c>
      <c r="B54" s="49" t="s">
        <v>1105</v>
      </c>
      <c r="C54" s="69" t="s">
        <v>1106</v>
      </c>
      <c r="D54" s="49" t="s">
        <v>1107</v>
      </c>
      <c r="E54" s="49">
        <v>1</v>
      </c>
      <c r="F54" s="50" t="s">
        <v>1100</v>
      </c>
    </row>
    <row r="55" spans="1:6" ht="66">
      <c r="A55" s="49" t="s">
        <v>472</v>
      </c>
      <c r="B55" s="49" t="s">
        <v>1108</v>
      </c>
      <c r="C55" s="68" t="s">
        <v>1109</v>
      </c>
      <c r="D55" s="47" t="s">
        <v>1110</v>
      </c>
      <c r="E55" s="49">
        <v>4</v>
      </c>
      <c r="F55" s="50" t="s">
        <v>1067</v>
      </c>
    </row>
    <row r="56" spans="1:6" ht="49.5">
      <c r="A56" s="49" t="s">
        <v>1111</v>
      </c>
      <c r="B56" s="49" t="s">
        <v>1112</v>
      </c>
      <c r="C56" s="71" t="s">
        <v>1113</v>
      </c>
      <c r="D56" s="49" t="s">
        <v>1114</v>
      </c>
      <c r="E56" s="49">
        <v>1</v>
      </c>
      <c r="F56" s="50" t="s">
        <v>1100</v>
      </c>
    </row>
    <row r="57" spans="1:6" ht="49.5">
      <c r="A57" s="49" t="s">
        <v>1115</v>
      </c>
      <c r="B57" s="49" t="s">
        <v>1116</v>
      </c>
      <c r="C57" s="69"/>
      <c r="D57" s="49" t="s">
        <v>1115</v>
      </c>
      <c r="E57" s="49">
        <v>1</v>
      </c>
      <c r="F57" s="50" t="s">
        <v>1117</v>
      </c>
    </row>
    <row r="58" spans="1:6" ht="33">
      <c r="A58" s="49" t="s">
        <v>665</v>
      </c>
      <c r="B58" s="49" t="s">
        <v>1118</v>
      </c>
      <c r="C58" s="71" t="s">
        <v>1119</v>
      </c>
      <c r="D58" s="49" t="s">
        <v>1120</v>
      </c>
      <c r="E58" s="49">
        <v>1</v>
      </c>
      <c r="F58" s="50" t="s">
        <v>1121</v>
      </c>
    </row>
    <row r="59" spans="1:6" ht="49.5">
      <c r="A59" s="49" t="s">
        <v>1122</v>
      </c>
      <c r="B59" s="49" t="s">
        <v>1123</v>
      </c>
      <c r="C59" s="68" t="s">
        <v>1124</v>
      </c>
      <c r="D59" s="49" t="s">
        <v>1125</v>
      </c>
      <c r="E59" s="49">
        <v>1</v>
      </c>
      <c r="F59" s="50" t="s">
        <v>1067</v>
      </c>
    </row>
    <row r="60" spans="1:6">
      <c r="E60" s="34"/>
    </row>
    <row r="61" spans="1:6">
      <c r="E61" s="34"/>
    </row>
    <row r="62" spans="1:6">
      <c r="E62" s="34"/>
    </row>
    <row r="63" spans="1:6">
      <c r="E63" s="34"/>
    </row>
    <row r="64" spans="1:6">
      <c r="E64" s="34"/>
    </row>
    <row r="65" spans="5:5">
      <c r="E65" s="34"/>
    </row>
    <row r="66" spans="5:5">
      <c r="E66" s="34"/>
    </row>
    <row r="67" spans="5:5">
      <c r="E67" s="34"/>
    </row>
    <row r="68" spans="5:5">
      <c r="E68" s="34"/>
    </row>
    <row r="69" spans="5:5">
      <c r="E69" s="34"/>
    </row>
    <row r="70" spans="5:5">
      <c r="E70" s="34"/>
    </row>
    <row r="71" spans="5:5">
      <c r="E71" s="34"/>
    </row>
    <row r="72" spans="5:5">
      <c r="E72" s="34"/>
    </row>
    <row r="73" spans="5:5">
      <c r="E73" s="34"/>
    </row>
    <row r="74" spans="5:5">
      <c r="E74" s="34"/>
    </row>
    <row r="75" spans="5:5">
      <c r="E75" s="34"/>
    </row>
    <row r="76" spans="5:5">
      <c r="E76" s="34"/>
    </row>
    <row r="77" spans="5:5">
      <c r="E77" s="34"/>
    </row>
    <row r="78" spans="5:5">
      <c r="E78" s="34"/>
    </row>
    <row r="79" spans="5:5">
      <c r="E79" s="34"/>
    </row>
    <row r="80" spans="5:5">
      <c r="E80" s="34"/>
    </row>
    <row r="81" spans="5:5">
      <c r="E81" s="34"/>
    </row>
    <row r="82" spans="5:5">
      <c r="E82" s="34"/>
    </row>
    <row r="83" spans="5:5">
      <c r="E83" s="34"/>
    </row>
    <row r="84" spans="5:5">
      <c r="E84" s="34"/>
    </row>
    <row r="85" spans="5:5">
      <c r="E85" s="34"/>
    </row>
    <row r="86" spans="5:5">
      <c r="E86" s="34"/>
    </row>
    <row r="87" spans="5:5">
      <c r="E87" s="34"/>
    </row>
    <row r="88" spans="5:5">
      <c r="E88" s="34"/>
    </row>
    <row r="89" spans="5:5">
      <c r="E89" s="34"/>
    </row>
    <row r="90" spans="5:5">
      <c r="E90" s="34"/>
    </row>
    <row r="91" spans="5:5">
      <c r="E91" s="34"/>
    </row>
    <row r="92" spans="5:5">
      <c r="E92" s="34"/>
    </row>
    <row r="93" spans="5:5">
      <c r="E93" s="34"/>
    </row>
    <row r="94" spans="5:5">
      <c r="E94" s="34"/>
    </row>
    <row r="95" spans="5:5">
      <c r="E95" s="34"/>
    </row>
    <row r="96" spans="5:5">
      <c r="E96" s="35"/>
    </row>
    <row r="1048568" spans="5:5">
      <c r="E1048568" s="32">
        <f>SUM(E46)</f>
        <v>164</v>
      </c>
    </row>
  </sheetData>
  <mergeCells count="1">
    <mergeCell ref="A8:A9"/>
  </mergeCells>
  <hyperlinks>
    <hyperlink ref="C56" r:id="rId1" xr:uid="{A0871D7C-D010-4003-B449-407DC510EEF3}"/>
    <hyperlink ref="C58" r:id="rId2" display="ACCC |" xr:uid="{C45AAC0B-88E5-48FA-B950-46A06E3C6927}"/>
    <hyperlink ref="C51" r:id="rId3" display="https://www.mydocmd.com/" xr:uid="{4AEB5AD6-191C-4CAC-9D24-FFA38E09D43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EE13C-62DE-4623-B7FA-0E068B87291E}">
  <dimension ref="A1:H5"/>
  <sheetViews>
    <sheetView topLeftCell="A5" workbookViewId="0">
      <selection activeCell="B20" sqref="B20"/>
    </sheetView>
  </sheetViews>
  <sheetFormatPr defaultRowHeight="16.5"/>
  <cols>
    <col min="1" max="1" width="38" style="14" customWidth="1"/>
    <col min="2" max="2" width="48.28515625" style="14" customWidth="1"/>
    <col min="3" max="3" width="34.7109375" style="14" customWidth="1"/>
    <col min="4" max="4" width="28.7109375" style="14" customWidth="1"/>
    <col min="5" max="5" width="43.85546875" style="14" customWidth="1"/>
    <col min="6" max="6" width="23.7109375" style="14" customWidth="1"/>
    <col min="7" max="16384" width="9.140625" style="14"/>
  </cols>
  <sheetData>
    <row r="1" spans="1:8" ht="60">
      <c r="A1" s="292" t="s">
        <v>1126</v>
      </c>
      <c r="B1" s="293"/>
      <c r="C1" s="293"/>
      <c r="D1" s="293"/>
      <c r="E1" s="293"/>
      <c r="F1" s="293"/>
    </row>
    <row r="2" spans="1:8">
      <c r="A2" s="15" t="s">
        <v>1127</v>
      </c>
      <c r="B2" s="15" t="s">
        <v>1040</v>
      </c>
      <c r="C2" s="15" t="s">
        <v>1128</v>
      </c>
      <c r="D2" s="15" t="s">
        <v>1129</v>
      </c>
      <c r="E2" s="15"/>
      <c r="F2" s="16" t="s">
        <v>1130</v>
      </c>
    </row>
    <row r="3" spans="1:8" ht="60" customHeight="1">
      <c r="A3" s="24" t="s">
        <v>54</v>
      </c>
      <c r="B3" s="24" t="s">
        <v>1131</v>
      </c>
      <c r="C3" s="25" t="s">
        <v>1132</v>
      </c>
      <c r="D3" s="26" t="s">
        <v>1133</v>
      </c>
      <c r="E3" s="27" t="s">
        <v>1134</v>
      </c>
      <c r="F3" s="28"/>
    </row>
    <row r="4" spans="1:8" ht="41.25">
      <c r="A4" s="20" t="s">
        <v>439</v>
      </c>
      <c r="B4" s="21" t="s">
        <v>1135</v>
      </c>
      <c r="C4" s="20" t="s">
        <v>1136</v>
      </c>
      <c r="D4" s="20" t="s">
        <v>1137</v>
      </c>
      <c r="E4" s="22" t="s">
        <v>1138</v>
      </c>
      <c r="F4" s="23"/>
      <c r="G4" s="18"/>
      <c r="H4" s="19"/>
    </row>
    <row r="5" spans="1:8" ht="30.75">
      <c r="A5" s="42" t="s">
        <v>299</v>
      </c>
      <c r="B5" s="40" t="s">
        <v>1139</v>
      </c>
      <c r="C5" s="41" t="s">
        <v>1140</v>
      </c>
      <c r="D5" s="40" t="s">
        <v>302</v>
      </c>
      <c r="E5" s="43" t="s">
        <v>1141</v>
      </c>
    </row>
  </sheetData>
  <mergeCells count="1">
    <mergeCell ref="A1:F1"/>
  </mergeCells>
  <hyperlinks>
    <hyperlink ref="C5" r:id="rId1" xr:uid="{67E4B8C5-9384-4ABD-B1C2-D7C7EF381A4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B2F1E-9AFC-42E2-80E1-54B98ED25CEA}">
  <dimension ref="B2:F34"/>
  <sheetViews>
    <sheetView workbookViewId="0">
      <selection activeCell="B2" sqref="B2:F35"/>
    </sheetView>
  </sheetViews>
  <sheetFormatPr defaultRowHeight="15"/>
  <cols>
    <col min="2" max="2" width="42.140625" customWidth="1"/>
    <col min="3" max="3" width="59.140625" customWidth="1"/>
    <col min="4" max="4" width="43.140625" customWidth="1"/>
    <col min="5" max="5" width="41.85546875" customWidth="1"/>
    <col min="6" max="6" width="37.5703125" customWidth="1"/>
  </cols>
  <sheetData>
    <row r="2" spans="2:6" ht="33.75">
      <c r="B2" s="295" t="s">
        <v>1142</v>
      </c>
      <c r="C2" s="295"/>
      <c r="D2" s="295"/>
      <c r="E2" s="295"/>
      <c r="F2" s="295"/>
    </row>
    <row r="3" spans="2:6">
      <c r="B3" s="255"/>
      <c r="C3" s="255"/>
      <c r="D3" s="256"/>
      <c r="E3" s="255"/>
      <c r="F3" s="257"/>
    </row>
    <row r="4" spans="2:6">
      <c r="B4" s="294"/>
      <c r="C4" s="255"/>
      <c r="D4" s="256"/>
      <c r="E4" s="255"/>
      <c r="F4" s="257"/>
    </row>
    <row r="5" spans="2:6">
      <c r="B5" s="294"/>
      <c r="C5" s="255"/>
      <c r="D5" s="256"/>
      <c r="E5" s="255"/>
      <c r="F5" s="257"/>
    </row>
    <row r="6" spans="2:6">
      <c r="B6" s="255"/>
      <c r="C6" s="255"/>
      <c r="D6" s="256"/>
      <c r="E6" s="258"/>
      <c r="F6" s="259"/>
    </row>
    <row r="7" spans="2:6">
      <c r="B7" s="255"/>
      <c r="C7" s="255"/>
      <c r="D7" s="256"/>
      <c r="E7" s="255"/>
      <c r="F7" s="257"/>
    </row>
    <row r="8" spans="2:6">
      <c r="B8" s="294"/>
      <c r="C8" s="258"/>
      <c r="D8" s="256"/>
      <c r="E8" s="255"/>
      <c r="F8" s="257"/>
    </row>
    <row r="9" spans="2:6">
      <c r="B9" s="294"/>
      <c r="C9" s="258"/>
      <c r="D9" s="260"/>
      <c r="E9" s="258"/>
      <c r="F9" s="261"/>
    </row>
    <row r="10" spans="2:6">
      <c r="B10" s="294"/>
      <c r="C10" s="258"/>
      <c r="D10" s="260"/>
      <c r="E10" s="258"/>
      <c r="F10" s="261"/>
    </row>
    <row r="11" spans="2:6">
      <c r="B11" s="294"/>
      <c r="C11" s="255"/>
      <c r="D11" s="256"/>
      <c r="E11" s="258"/>
      <c r="F11" s="257"/>
    </row>
    <row r="12" spans="2:6">
      <c r="B12" s="294"/>
      <c r="C12" s="255"/>
      <c r="D12" s="256"/>
      <c r="E12" s="258"/>
      <c r="F12" s="262"/>
    </row>
    <row r="13" spans="2:6">
      <c r="B13" s="255"/>
      <c r="C13" s="255"/>
      <c r="D13" s="256"/>
      <c r="E13" s="255"/>
      <c r="F13" s="257"/>
    </row>
    <row r="14" spans="2:6">
      <c r="B14" s="255"/>
      <c r="C14" s="255"/>
      <c r="D14" s="256"/>
      <c r="E14" s="255"/>
      <c r="F14" s="257"/>
    </row>
    <row r="15" spans="2:6">
      <c r="B15" s="255"/>
      <c r="C15" s="255"/>
      <c r="D15" s="256"/>
      <c r="E15" s="255"/>
      <c r="F15" s="257"/>
    </row>
    <row r="16" spans="2:6">
      <c r="B16" s="255"/>
      <c r="C16" s="255"/>
      <c r="D16" s="256"/>
      <c r="E16" s="255"/>
      <c r="F16" s="257"/>
    </row>
    <row r="17" spans="2:6">
      <c r="B17" s="255"/>
      <c r="C17" s="255"/>
      <c r="D17" s="256"/>
      <c r="E17" s="255"/>
      <c r="F17" s="257"/>
    </row>
    <row r="18" spans="2:6">
      <c r="B18" s="255"/>
      <c r="C18" s="255"/>
      <c r="D18" s="256"/>
      <c r="E18" s="255"/>
      <c r="F18" s="257"/>
    </row>
    <row r="19" spans="2:6">
      <c r="B19" s="255"/>
      <c r="C19" s="255"/>
      <c r="D19" s="256"/>
      <c r="E19" s="255"/>
      <c r="F19" s="257"/>
    </row>
    <row r="20" spans="2:6">
      <c r="B20" s="255"/>
      <c r="C20" s="255"/>
      <c r="D20" s="256"/>
      <c r="E20" s="255"/>
      <c r="F20" s="257"/>
    </row>
    <row r="21" spans="2:6">
      <c r="B21" s="255"/>
      <c r="C21" s="255"/>
      <c r="D21" s="260"/>
      <c r="E21" s="255"/>
      <c r="F21" s="257"/>
    </row>
    <row r="22" spans="2:6">
      <c r="B22" s="294"/>
      <c r="C22" s="255"/>
      <c r="D22" s="256"/>
      <c r="E22" s="294"/>
      <c r="F22" s="257"/>
    </row>
    <row r="23" spans="2:6">
      <c r="B23" s="294"/>
      <c r="C23" s="255"/>
      <c r="D23" s="257"/>
      <c r="E23" s="294"/>
      <c r="F23" s="259"/>
    </row>
    <row r="24" spans="2:6">
      <c r="B24" s="255"/>
      <c r="C24" s="255"/>
      <c r="D24" s="256"/>
      <c r="E24" s="255"/>
      <c r="F24" s="257"/>
    </row>
    <row r="25" spans="2:6">
      <c r="B25" s="255"/>
      <c r="C25" s="255"/>
      <c r="D25" s="256"/>
      <c r="E25" s="255"/>
      <c r="F25" s="257"/>
    </row>
    <row r="26" spans="2:6">
      <c r="B26" s="255"/>
      <c r="C26" s="255"/>
      <c r="D26" s="256"/>
      <c r="E26" s="255"/>
      <c r="F26" s="257"/>
    </row>
    <row r="27" spans="2:6">
      <c r="B27" s="294"/>
      <c r="C27" s="255"/>
      <c r="D27" s="256"/>
      <c r="E27" s="255"/>
      <c r="F27" s="257"/>
    </row>
    <row r="28" spans="2:6">
      <c r="B28" s="294"/>
      <c r="C28" s="255"/>
      <c r="D28" s="256"/>
      <c r="E28" s="255"/>
      <c r="F28" s="257"/>
    </row>
    <row r="29" spans="2:6">
      <c r="B29" s="255"/>
      <c r="C29" s="255"/>
      <c r="D29" s="256"/>
      <c r="E29" s="255"/>
      <c r="F29" s="257"/>
    </row>
    <row r="30" spans="2:6">
      <c r="B30" s="258"/>
      <c r="C30" s="255"/>
      <c r="D30" s="256"/>
      <c r="E30" s="255"/>
      <c r="F30" s="257"/>
    </row>
    <row r="31" spans="2:6">
      <c r="B31" s="258"/>
      <c r="C31" s="255"/>
      <c r="D31" s="256"/>
      <c r="E31" s="255"/>
      <c r="F31" s="257"/>
    </row>
    <row r="32" spans="2:6">
      <c r="B32" s="258"/>
      <c r="C32" s="255"/>
      <c r="D32" s="256"/>
      <c r="E32" s="255"/>
      <c r="F32" s="257"/>
    </row>
    <row r="33" spans="2:6">
      <c r="B33" s="258"/>
      <c r="C33" s="255"/>
      <c r="D33" s="256"/>
      <c r="E33" s="255"/>
      <c r="F33" s="257"/>
    </row>
    <row r="34" spans="2:6">
      <c r="B34" s="263"/>
      <c r="C34" s="263"/>
      <c r="D34" s="264"/>
      <c r="E34" s="263"/>
      <c r="F34" s="265"/>
    </row>
  </sheetData>
  <mergeCells count="7">
    <mergeCell ref="B27:B28"/>
    <mergeCell ref="B2:F2"/>
    <mergeCell ref="B4:B5"/>
    <mergeCell ref="B8:B10"/>
    <mergeCell ref="B11:B12"/>
    <mergeCell ref="B22:B23"/>
    <mergeCell ref="E22:E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99bf55c-7d7c-4040-8259-c5d0f7dc00b6" xsi:nil="true"/>
    <lcf76f155ced4ddcb4097134ff3c332f xmlns="d3de85ce-754a-42aa-b2b7-c065ff909f7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CF42957DBD4A64E92A68068F752E869" ma:contentTypeVersion="15" ma:contentTypeDescription="Create a new document." ma:contentTypeScope="" ma:versionID="ead33c34d6f936fde298fff8f7f86d33">
  <xsd:schema xmlns:xsd="http://www.w3.org/2001/XMLSchema" xmlns:xs="http://www.w3.org/2001/XMLSchema" xmlns:p="http://schemas.microsoft.com/office/2006/metadata/properties" xmlns:ns2="d3de85ce-754a-42aa-b2b7-c065ff909f7c" xmlns:ns3="999bf55c-7d7c-4040-8259-c5d0f7dc00b6" targetNamespace="http://schemas.microsoft.com/office/2006/metadata/properties" ma:root="true" ma:fieldsID="524aea41881d0aa02ced223b687bc9ab" ns2:_="" ns3:_="">
    <xsd:import namespace="d3de85ce-754a-42aa-b2b7-c065ff909f7c"/>
    <xsd:import namespace="999bf55c-7d7c-4040-8259-c5d0f7dc00b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de85ce-754a-42aa-b2b7-c065ff909f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4fae5f4-7b63-4c51-bb9f-b73d04e0716d"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99bf55c-7d7c-4040-8259-c5d0f7dc00b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636452f5-55a6-47c5-97d1-5e89cdf1a17e}" ma:internalName="TaxCatchAll" ma:showField="CatchAllData" ma:web="999bf55c-7d7c-4040-8259-c5d0f7dc00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12E594-145A-4C0E-AD70-C240B436C737}"/>
</file>

<file path=customXml/itemProps2.xml><?xml version="1.0" encoding="utf-8"?>
<ds:datastoreItem xmlns:ds="http://schemas.openxmlformats.org/officeDocument/2006/customXml" ds:itemID="{06DEA3CE-E2FC-4193-AEEA-B7DE641B538D}"/>
</file>

<file path=customXml/itemProps3.xml><?xml version="1.0" encoding="utf-8"?>
<ds:datastoreItem xmlns:ds="http://schemas.openxmlformats.org/officeDocument/2006/customXml" ds:itemID="{3485373B-0884-4215-BA5F-B45D166E9C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Laine Leitao</dc:creator>
  <cp:keywords/>
  <dc:description/>
  <cp:lastModifiedBy>North Houston Cancer Clinics</cp:lastModifiedBy>
  <cp:revision/>
  <dcterms:created xsi:type="dcterms:W3CDTF">2024-12-17T15:18:08Z</dcterms:created>
  <dcterms:modified xsi:type="dcterms:W3CDTF">2026-02-08T03:59:48Z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0x0101008CF42957DBD4A64E92A68068F752E869</vt:lpwstr>
  </property>
  <property fmtid="{D5CDD505-2E9C-101B-9397-08002B2CF9AE}" pid="3" name="MediaServiceImageTags">
    <vt:lpwstr/>
  </property>
</Properties>
</file>